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20c0e35e2bdcfe4/Desktop/"/>
    </mc:Choice>
  </mc:AlternateContent>
  <xr:revisionPtr revIDLastSave="0" documentId="8_{62F32D40-DF2B-4EB9-9FB0-086793F5C099}" xr6:coauthVersionLast="47" xr6:coauthVersionMax="47" xr10:uidLastSave="{00000000-0000-0000-0000-000000000000}"/>
  <bookViews>
    <workbookView xWindow="-110" yWindow="-110" windowWidth="19420" windowHeight="11500" firstSheet="2" activeTab="9" xr2:uid="{00000000-000D-0000-FFFF-FFFF00000000}"/>
  </bookViews>
  <sheets>
    <sheet name="Retail_Dataset" sheetId="1" r:id="rId1"/>
    <sheet name="QUES1" sheetId="2" r:id="rId2"/>
    <sheet name="QUES2" sheetId="3" r:id="rId3"/>
    <sheet name="QUES3" sheetId="4" r:id="rId4"/>
    <sheet name="QUES4" sheetId="5" r:id="rId5"/>
    <sheet name="QUES5" sheetId="6" r:id="rId6"/>
    <sheet name="QUES6" sheetId="7" r:id="rId7"/>
    <sheet name="QUES7" sheetId="9" r:id="rId8"/>
    <sheet name="QUES8" sheetId="10" r:id="rId9"/>
    <sheet name="QUES9" sheetId="11" r:id="rId10"/>
  </sheets>
  <definedNames>
    <definedName name="_xlnm._FilterDatabase" localSheetId="0" hidden="1">Retail_Dataset!$A$1:$J$351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2" i="7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2" i="1"/>
  <c r="D10" i="2"/>
  <c r="D9" i="2"/>
  <c r="D8" i="2"/>
  <c r="D7" i="2"/>
</calcChain>
</file>

<file path=xl/sharedStrings.xml><?xml version="1.0" encoding="utf-8"?>
<sst xmlns="http://schemas.openxmlformats.org/spreadsheetml/2006/main" count="2228" uniqueCount="475">
  <si>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</si>
  <si>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</si>
  <si>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</si>
  <si>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</si>
  <si>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</si>
  <si>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</si>
  <si>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</si>
  <si>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</si>
  <si>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</si>
  <si>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</si>
  <si>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</si>
  <si>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</si>
  <si>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</si>
  <si>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</si>
  <si>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</si>
  <si>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</si>
  <si>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</si>
  <si>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</si>
  <si>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</si>
  <si>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</si>
  <si>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</si>
  <si>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</si>
  <si>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</si>
  <si>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</si>
  <si>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</si>
  <si>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</si>
  <si>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</si>
  <si>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</si>
  <si>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</si>
  <si>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</si>
  <si>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</si>
  <si>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</si>
  <si>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</si>
  <si>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</si>
  <si>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</si>
  <si>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</si>
  <si>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</si>
  <si>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</si>
  <si>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</si>
  <si>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</si>
  <si>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</si>
  <si>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</si>
  <si>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</si>
  <si>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</si>
  <si>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</si>
  <si>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</si>
  <si>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</si>
  <si>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</si>
  <si>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</si>
  <si>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</si>
  <si>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</si>
  <si>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</si>
  <si>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</si>
  <si>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</si>
  <si>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</si>
  <si>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</si>
  <si>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</si>
  <si>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</si>
  <si>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</si>
  <si>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</si>
  <si>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</si>
  <si>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</si>
  <si>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</si>
  <si>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</si>
  <si>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</si>
  <si>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</si>
  <si>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</si>
  <si>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</si>
  <si>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</si>
  <si>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</si>
  <si>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</si>
  <si>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</si>
  <si>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</si>
  <si>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</si>
  <si>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</si>
  <si>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</si>
  <si>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</si>
  <si>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</si>
  <si>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</si>
  <si>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</si>
  <si>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</si>
  <si>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</si>
  <si>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</si>
  <si>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</si>
  <si>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</si>
  <si>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</si>
  <si>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</si>
  <si>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</si>
  <si>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</si>
  <si>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</si>
  <si>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</si>
  <si>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</si>
  <si>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</si>
  <si>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</si>
  <si>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</si>
  <si>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</si>
  <si>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</si>
  <si>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</si>
  <si>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</si>
  <si>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</si>
  <si>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</si>
  <si>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</si>
  <si>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</si>
  <si>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</si>
  <si>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</si>
  <si>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</si>
  <si>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</si>
  <si>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</si>
  <si>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</si>
  <si>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</si>
  <si>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</si>
  <si>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</si>
  <si>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</si>
  <si>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</si>
  <si>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</si>
  <si>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</si>
  <si>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</si>
  <si>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</si>
  <si>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</si>
  <si>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</si>
  <si>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</si>
  <si>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</si>
  <si>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</si>
  <si>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</si>
  <si>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</si>
  <si>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</si>
  <si>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</si>
  <si>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</si>
  <si>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</si>
  <si>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</si>
  <si>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</si>
  <si>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</si>
  <si>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</si>
  <si>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</si>
  <si>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</si>
  <si>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</si>
  <si>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</si>
  <si>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</si>
  <si>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</si>
  <si>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</si>
  <si>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</si>
  <si>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</si>
  <si>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</si>
  <si>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</si>
  <si>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</si>
  <si>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</si>
  <si>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</si>
  <si>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</si>
  <si>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</si>
  <si>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</si>
  <si>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</si>
  <si>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</si>
  <si>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</si>
  <si>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</si>
  <si>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</si>
  <si>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</si>
  <si>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</si>
  <si>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</si>
  <si>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</si>
  <si>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</si>
  <si>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</si>
  <si>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</si>
  <si>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</si>
  <si>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</si>
  <si>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</si>
  <si>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</si>
  <si>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</si>
  <si>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</si>
  <si>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</si>
  <si>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</si>
  <si>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</si>
  <si>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</si>
  <si>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</si>
  <si>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</si>
  <si>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</si>
  <si>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</si>
  <si>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</si>
  <si>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</si>
  <si>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</si>
  <si>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</si>
  <si>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</si>
  <si>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</si>
  <si>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</si>
  <si>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</si>
  <si>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</si>
  <si>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</si>
  <si>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</si>
  <si>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</si>
  <si>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</si>
  <si>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</si>
  <si>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</si>
  <si>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</si>
  <si>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</si>
  <si>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</si>
  <si>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</si>
  <si>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</si>
  <si>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</si>
  <si>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</si>
  <si>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</si>
  <si>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</si>
  <si>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</si>
  <si>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</si>
  <si>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</si>
  <si>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</si>
  <si>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</si>
  <si>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</si>
  <si>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</si>
  <si>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</si>
  <si>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</si>
  <si>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</si>
  <si>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</si>
  <si>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</si>
  <si>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</si>
  <si>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</si>
  <si>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</si>
  <si>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</si>
  <si>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</si>
  <si>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</si>
  <si>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</si>
  <si>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</si>
  <si>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</si>
  <si>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</si>
  <si>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</si>
  <si>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</si>
  <si>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</si>
  <si>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</si>
  <si>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</si>
  <si>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</si>
  <si>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</si>
  <si>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</si>
  <si>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</si>
  <si>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</si>
  <si>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</si>
  <si>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</si>
  <si>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</si>
  <si>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</si>
  <si>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</si>
  <si>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</si>
  <si>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</si>
  <si>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</si>
  <si>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</si>
  <si>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</si>
  <si>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</si>
  <si>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</si>
  <si>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</si>
  <si>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</si>
  <si>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</si>
  <si>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</si>
  <si>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</si>
  <si>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</si>
  <si>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</si>
  <si>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</si>
  <si>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</si>
  <si>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</si>
  <si>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</si>
  <si>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</si>
  <si>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</si>
  <si>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</si>
  <si>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</si>
  <si>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</si>
  <si>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</si>
  <si>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</si>
  <si>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</si>
  <si>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</si>
  <si>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</si>
  <si>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</si>
  <si>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</si>
  <si>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</si>
  <si>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</si>
  <si>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</si>
  <si>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</si>
  <si>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</si>
  <si>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</si>
  <si>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</si>
  <si>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</si>
  <si>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</si>
  <si>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</si>
  <si>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</si>
  <si>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</si>
  <si>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</si>
  <si>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</si>
  <si>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</si>
  <si>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</si>
  <si>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</si>
  <si>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</si>
  <si>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</si>
  <si>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</si>
  <si>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</si>
  <si>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</si>
  <si>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</si>
  <si>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</si>
  <si>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</si>
  <si>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</si>
  <si>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</si>
  <si>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</si>
  <si>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</si>
  <si>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</si>
  <si>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</si>
  <si>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</si>
  <si>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</si>
  <si>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</si>
  <si>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</si>
  <si>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</si>
  <si>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</si>
  <si>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</si>
  <si>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</si>
  <si>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</si>
  <si>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</si>
  <si>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</si>
  <si>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</si>
  <si>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</si>
  <si>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</si>
  <si>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</si>
  <si>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</si>
  <si>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</si>
  <si>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</si>
  <si>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</si>
  <si>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</si>
  <si>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</si>
  <si>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</si>
  <si>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</si>
  <si>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</si>
  <si>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</si>
  <si>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</si>
  <si>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</si>
  <si>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</si>
  <si>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</si>
  <si>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</si>
  <si>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</si>
  <si>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</si>
  <si>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</si>
  <si>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</si>
  <si>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</si>
  <si>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</si>
  <si>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</si>
  <si>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</si>
  <si>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</si>
  <si>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</si>
  <si>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</si>
  <si>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</si>
  <si>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</si>
  <si>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</si>
  <si>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</si>
  <si>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</si>
  <si>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</si>
  <si>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</si>
  <si>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</si>
  <si>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</si>
  <si>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</si>
  <si>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</si>
  <si>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</si>
  <si>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</si>
  <si>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</si>
  <si>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</si>
  <si>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</si>
  <si>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</si>
  <si>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</si>
  <si>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</si>
  <si>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</si>
  <si>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</si>
  <si>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</si>
  <si>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</si>
  <si>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</si>
  <si>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</si>
  <si>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</si>
  <si>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</si>
  <si>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</si>
  <si>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</si>
  <si>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</si>
  <si>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</si>
  <si>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</si>
  <si>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</si>
  <si>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</si>
  <si>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</si>
  <si>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</si>
  <si>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</si>
  <si>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</si>
  <si>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</si>
  <si>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</si>
  <si>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r>
      <rPr>
        <b/>
        <sz val="11"/>
        <color theme="1"/>
        <rFont val="Calibri"/>
        <family val="2"/>
        <scheme val="minor"/>
      </rPr>
      <t>Q1</t>
    </r>
    <r>
      <rPr>
        <sz val="11"/>
        <color theme="1"/>
        <rFont val="Calibri"/>
        <scheme val="minor"/>
      </rPr>
      <t>. Use Copilot to identify and summarize missing values in the dataset.</t>
    </r>
  </si>
  <si>
    <t>Copilot Prompt - :</t>
  </si>
  <si>
    <t>Identify all columns with missing values and provide a summary of the missing data.</t>
  </si>
  <si>
    <t>Column Name</t>
  </si>
  <si>
    <t>Missing Values</t>
  </si>
  <si>
    <t>Copilot response -:</t>
  </si>
  <si>
    <t>Copilot analyzed the dataset and identified missing values in multiple columns. The Region and Category columns contained missing</t>
  </si>
  <si>
    <t>categorical values, while Units Sold and Unit Price had missing numerical entries.</t>
  </si>
  <si>
    <t>These missing values may affect calculations and analysis and therefore need to be addressed before further data processing.</t>
  </si>
  <si>
    <t>Formula Used -: =COUNTBLANK(range)</t>
  </si>
  <si>
    <t>Ques 2  -</t>
  </si>
  <si>
    <t>Missing Value In Region .</t>
  </si>
  <si>
    <t>Copilot Prompt :-</t>
  </si>
  <si>
    <t>"Fill the missing values in the 'Region' column using the most frequent value."</t>
  </si>
  <si>
    <t>Solution :-</t>
  </si>
  <si>
    <t>The Region column contained missing values.</t>
  </si>
  <si>
    <t>Copilot identified the most frequently occurring region in the dataset and used it to fill the missing entries.</t>
  </si>
  <si>
    <t>This method ensures consistency in the dataset and avoids introducing random values.</t>
  </si>
  <si>
    <t>Ques 3 :-</t>
  </si>
  <si>
    <t>Missing Values in Units Sold &amp; Unit Price</t>
  </si>
  <si>
    <t>Replace missing values in 'Units Sold' and 'Unit Price' using the average (mean) of their respective columns.</t>
  </si>
  <si>
    <t>The Units Sold and Unit Price columns contained missing numerical values.</t>
  </si>
  <si>
    <t>Copilot calculated the average value for each column and replaced the missing entries with the respective mean.</t>
  </si>
  <si>
    <t>This approach maintains numerical consistency and prevents bias caused by random value insertion.</t>
  </si>
  <si>
    <t>Suggested Values :-</t>
  </si>
  <si>
    <t>Filled using column average</t>
  </si>
  <si>
    <t>Formula Used :-=AVERAGE(range)</t>
  </si>
  <si>
    <t>Total Revenue</t>
  </si>
  <si>
    <r>
      <rPr>
        <b/>
        <sz val="11"/>
        <color theme="1"/>
        <rFont val="Calibri"/>
        <family val="2"/>
        <scheme val="minor"/>
      </rPr>
      <t xml:space="preserve">Ques 4 -: </t>
    </r>
    <r>
      <rPr>
        <sz val="11"/>
        <color theme="1"/>
        <rFont val="Calibri"/>
        <scheme val="minor"/>
      </rPr>
      <t>New Column: Total Revenue</t>
    </r>
  </si>
  <si>
    <t>Add a new column named Total Revenue and calculate it using Units Sold and Unit Price.</t>
  </si>
  <si>
    <t>A new column named Total Revenue was added in the Retail_Dataset sheet. Total Revenue was calculated by multiplying Units Sold with Unit Price for each order.</t>
  </si>
  <si>
    <t>Formula Used :- =H2*I2</t>
  </si>
  <si>
    <t>Ques 5 - :</t>
  </si>
  <si>
    <t xml:space="preserve"> Total Price for Order ID = ORD0123</t>
  </si>
  <si>
    <t>What is the total revenue for Order ID ORD0123?</t>
  </si>
  <si>
    <t>The total revenue for Order ID ORD0123 was identified from the Total Revenue column in the Retail_Dataset sheet.</t>
  </si>
  <si>
    <t>Total Revenue :-</t>
  </si>
  <si>
    <t>Formula Used :- =Units Sold * Unit Price</t>
  </si>
  <si>
    <t>Profit</t>
  </si>
  <si>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Profit</t>
    </r>
  </si>
  <si>
    <t>This chart shows the average profit generated across different regions.</t>
  </si>
  <si>
    <t>Row Labels</t>
  </si>
  <si>
    <t>Grand Total</t>
  </si>
  <si>
    <t>Column Labels</t>
  </si>
  <si>
    <t>Sum of Total Revenue</t>
  </si>
  <si>
    <r>
      <rPr>
        <b/>
        <sz val="11"/>
        <color theme="1"/>
        <rFont val="Calibri"/>
        <family val="2"/>
        <scheme val="minor"/>
      </rPr>
      <t xml:space="preserve">Ques -7 </t>
    </r>
    <r>
      <rPr>
        <sz val="11"/>
        <color theme="1"/>
        <rFont val="Calibri"/>
        <scheme val="minor"/>
      </rPr>
      <t>-: Create a pivot table summarizing total sales by category and region.</t>
    </r>
  </si>
  <si>
    <t>Copilot Prompt:</t>
  </si>
  <si>
    <t>Create a pivot table showing the sum of total revenue by category in rows and region in columns.</t>
  </si>
  <si>
    <t>Solution - :</t>
  </si>
  <si>
    <t>A pivot table was created using Category as rows and Region as columns, with Total Revenue aggregated as the sum.</t>
  </si>
  <si>
    <t>This table provides a clear comparison of sales performance across different categories and regions.</t>
  </si>
  <si>
    <t>Ques -6 :-</t>
  </si>
  <si>
    <t>Summary Chart of Average Profit by Region.</t>
  </si>
  <si>
    <t>Create a bar chart showing the average profit for each region.</t>
  </si>
  <si>
    <t>Solution -:</t>
  </si>
  <si>
    <t>Copilot calculated the average profit for each region using</t>
  </si>
  <si>
    <t>the Profit column and grouped the results by Region.</t>
  </si>
  <si>
    <t>A bar chart was generated to visually compare the average</t>
  </si>
  <si>
    <t>profit across different regions,</t>
  </si>
  <si>
    <t>making it easier to identify high- and low-performing regions.</t>
  </si>
  <si>
    <t>Formula used -: =AVERAGE(range)</t>
  </si>
  <si>
    <t>Ques  8 -:</t>
  </si>
  <si>
    <t>Build a Dashboard Combining Key KPIs and Charts.</t>
  </si>
  <si>
    <t>Use the dataset to build a dashboard that displays key KPIs including total revenue, total units sold, total profit,</t>
  </si>
  <si>
    <t>and average profit. Also include charts for revenue by category, profit by region, and monthly revenue trends.</t>
  </si>
  <si>
    <t>Copilot created a dashboard by summarizing key performance indicators (KPIs) from the dataset.</t>
  </si>
  <si>
    <t>The dashboard includes total revenue, total units sold, total profit, and average profit displayed prominently at the top.</t>
  </si>
  <si>
    <t>Visual charts were added to represent revenue by category, average profit by region, and monthly</t>
  </si>
  <si>
    <t>revenue trends, providing a clear and interactive overview of business performance.</t>
  </si>
  <si>
    <t>KPI's Used -:</t>
  </si>
  <si>
    <r>
      <t>Total Revenue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=SUM(Total_Revenue)</t>
    </r>
  </si>
  <si>
    <r>
      <t>Total Units Sold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=SUM(Units_Sold)</t>
    </r>
  </si>
  <si>
    <r>
      <t>Total Profit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=SUM(Profit)</t>
    </r>
  </si>
  <si>
    <r>
      <t>Average Profit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=AVERAGE(Profit)</t>
    </r>
  </si>
  <si>
    <t>Charts Included :-</t>
  </si>
  <si>
    <t>Revenue by Category (Column Chart)</t>
  </si>
  <si>
    <t>Average Profit by Region (Bar Chart)</t>
  </si>
  <si>
    <t>Monthly Revenue Trend (Line Chart)</t>
  </si>
  <si>
    <t>Purpose of Dashboard - :</t>
  </si>
  <si>
    <t>This dashboard provides a consolidated view of sales and profit performance, helping stakeholders quickly analyze trends,</t>
  </si>
  <si>
    <t>compare regions and categories, and make data-driven decisions.</t>
  </si>
  <si>
    <r>
      <rPr>
        <b/>
        <sz val="11"/>
        <color theme="1"/>
        <rFont val="Calibri"/>
        <family val="2"/>
        <scheme val="minor"/>
      </rPr>
      <t>Ques - 9</t>
    </r>
    <r>
      <rPr>
        <sz val="11"/>
        <color theme="1"/>
        <rFont val="Calibri"/>
        <scheme val="minor"/>
      </rPr>
      <t xml:space="preserve"> </t>
    </r>
  </si>
  <si>
    <t>Identify Top Performing Category by Total Revenue.</t>
  </si>
  <si>
    <t>Copilot Prompt -:</t>
  </si>
  <si>
    <t>Identify the product category that generates the highest total revenue using the dataset.</t>
  </si>
  <si>
    <t>Copilot analyzed the dataset and calculated the total revenue for each product category by summing the Total Revenue values.</t>
  </si>
  <si>
    <r>
      <t xml:space="preserve">After comparing all categories, </t>
    </r>
    <r>
      <rPr>
        <b/>
        <sz val="11"/>
        <color theme="1"/>
        <rFont val="Calibri"/>
        <family val="2"/>
        <scheme val="minor"/>
      </rPr>
      <t>Clothing</t>
    </r>
    <r>
      <rPr>
        <sz val="11"/>
        <color theme="1"/>
        <rFont val="Calibri"/>
        <family val="2"/>
        <scheme val="minor"/>
      </rPr>
      <t xml:space="preserve"> emerged as the top-performing category with the highest total revenue.</t>
    </r>
  </si>
  <si>
    <t>This indicates that the Clothing category contributes the most to overall sales performance.</t>
  </si>
  <si>
    <t>Metric Used :-</t>
  </si>
  <si>
    <t>Total Revenue = SUM(Total Revenue)</t>
  </si>
  <si>
    <t>Method Applied :-</t>
  </si>
  <si>
    <r>
      <t xml:space="preserve">Group data by </t>
    </r>
    <r>
      <rPr>
        <b/>
        <sz val="11"/>
        <color theme="1"/>
        <rFont val="Calibri"/>
        <family val="2"/>
        <scheme val="minor"/>
      </rPr>
      <t>Category</t>
    </r>
  </si>
  <si>
    <r>
      <t xml:space="preserve">Aggregate </t>
    </r>
    <r>
      <rPr>
        <b/>
        <sz val="11"/>
        <color theme="1"/>
        <rFont val="Calibri"/>
        <family val="2"/>
        <scheme val="minor"/>
      </rPr>
      <t>Total Revenue</t>
    </r>
    <r>
      <rPr>
        <sz val="11"/>
        <color theme="1"/>
        <rFont val="Calibri"/>
        <family val="2"/>
        <scheme val="minor"/>
      </rPr>
      <t xml:space="preserve"> for each category</t>
    </r>
  </si>
  <si>
    <t>Compare totals to identify the highest-performing category</t>
  </si>
  <si>
    <t>Insight :-</t>
  </si>
  <si>
    <t>The Clothing category drives the maximum revenue, suggesting strong customer demand and sales performance in this segment.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</si>
</sst>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64" fontId="5" fillId="0" borderId="0" xfId="0" applyNumberFormat="1" applyFont="1"/>
    <xf numFmtId="0" fontId="2" fillId="0" borderId="0" xfId="1"/>
    <xf numFmtId="0" fontId="2" fillId="0" borderId="0" xfId="0" applyFont="1"/>
    <xf numFmtId="0" fontId="6" fillId="0" borderId="0" xfId="0" applyFont="1"/>
    <xf numFmtId="0" fontId="7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2">
    <cellStyle name="Normal" xfId="0" builtinId="0"/>
    <cellStyle name="Normal 2" xfId="1" xr:uid="{8912BECA-7CF0-4173-A23A-A8E8D1E157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QUES6!$B$1</c:f>
              <c:strCache>
                <c:ptCount val="1"/>
                <c:pt idx="0">
                  <c:v>Average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QUES6!$A$2:$A$5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QUES6!$B$2:$B$5</c:f>
              <c:numCache>
                <c:formatCode>General</c:formatCode>
                <c:ptCount val="4"/>
                <c:pt idx="0">
                  <c:v>65823.338131868135</c:v>
                </c:pt>
                <c:pt idx="1">
                  <c:v>65444.396904761925</c:v>
                </c:pt>
                <c:pt idx="2">
                  <c:v>52497.308000000005</c:v>
                </c:pt>
                <c:pt idx="3">
                  <c:v>58884.285999999993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B-4294-B3BD-3839C893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239792"/>
        <c:axId val="239242192"/>
      </c:barChart>
      <c:catAx>
        <c:axId val="23923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42192"/>
        <c:crosses val="autoZero"/>
        <c:auto val="1"/>
        <c:lblAlgn val="ctr"/>
        <c:lblOffset val="100"/>
        <c:noMultiLvlLbl val="0"/>
      </c:catAx>
      <c:valAx>
        <c:axId val="23924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174625</xdr:colOff>
      <xdr:row>1</xdr:row>
      <xdr:rowOff>120650</xdr:rowOff>
    </xdr:from>
    <xdr:to>
      <xdr:col>17</xdr:col>
      <xdr:colOff>479425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588A4-1BE9-A99E-2D83-A11562D53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beeh Abbas" refreshedDate="46046.431595138885" createdVersion="8" refreshedVersion="8" minRefreshableVersion="3" recordCount="350" xr:uid="{04C5151E-5545-43B6-A0B3-E72DC56AE7C0}">
  <cacheSource type="worksheet">
    <worksheetSource ref="A1:L351" sheet="Retail_Dataset"/>
  </cacheSource>
  <cacheFields count="12">
    <cacheField name="Order 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ountry" numFmtId="0">
      <sharedItems/>
    </cacheField>
    <cacheField name="Category" numFmtId="0">
      <sharedItems containsBlank="1" count="6">
        <s v="Beverages"/>
        <s v="Food"/>
        <s v="Clothing"/>
        <s v="Furniture"/>
        <s v="Electronics"/>
        <m/>
      </sharedItems>
    </cacheField>
    <cacheField name="Sales Channel" numFmtId="0">
      <sharedItems/>
    </cacheField>
    <cacheField name="Order Priority" numFmtId="0">
      <sharedItems/>
    </cacheField>
    <cacheField name="Order Date" numFmtId="164">
      <sharedItems containsSemiMixedTypes="0" containsNonDate="0" containsDate="1" containsString="0" minDate="2023-01-01T00:00:00" maxDate="2023-12-17T00:00:00"/>
    </cacheField>
    <cacheField name="Units Sold" numFmtId="0">
      <sharedItems containsString="0" containsBlank="1" containsNumber="1" containsInteger="1" minValue="11" maxValue="498"/>
    </cacheField>
    <cacheField name="Unit Price" numFmtId="0">
      <sharedItems containsString="0" containsBlank="1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Total Revenue" numFmtId="0">
      <sharedItems containsSemiMixedTypes="0" containsString="0" containsNumber="1" minValue="0" maxValue="239220.11"/>
    </cacheField>
    <cacheField name="Profit" numFmtId="0">
      <sharedItems containsSemiMixedTypes="0" containsString="0" containsNumber="1" minValue="-383.01" maxValue="238858.34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s v="Online"/>
    <s v="High"/>
    <d v="2023-01-01T00:00:00"/>
    <n v="235"/>
    <n v="152.91999999999999"/>
    <n v="153.6"/>
    <n v="35936.199999999997"/>
    <n v="35782.6"/>
  </r>
  <r>
    <s v="ORD0002"/>
    <x v="1"/>
    <s v="India"/>
    <x v="1"/>
    <s v="Online"/>
    <s v="Low"/>
    <d v="2023-01-02T00:00:00"/>
    <n v="341"/>
    <n v="467.92"/>
    <n v="139.84"/>
    <n v="159560.72"/>
    <n v="159420.88"/>
  </r>
  <r>
    <s v="ORD0003"/>
    <x v="2"/>
    <s v="India"/>
    <x v="2"/>
    <s v="Offline"/>
    <s v="High"/>
    <d v="2023-01-03T00:00:00"/>
    <n v="179"/>
    <n v="473.94"/>
    <n v="97.14"/>
    <n v="84835.26"/>
    <n v="84738.12"/>
  </r>
  <r>
    <s v="ORD0004"/>
    <x v="0"/>
    <s v="USA"/>
    <x v="3"/>
    <s v="Offline"/>
    <s v="Medium"/>
    <d v="2023-01-04T00:00:00"/>
    <n v="18"/>
    <n v="314.52999999999997"/>
    <n v="204.87"/>
    <n v="5661.5399999999991"/>
    <n v="5456.6699999999992"/>
  </r>
  <r>
    <s v="ORD0005"/>
    <x v="0"/>
    <s v="India"/>
    <x v="3"/>
    <s v="Offline"/>
    <s v="Medium"/>
    <d v="2023-01-05T00:00:00"/>
    <n v="472"/>
    <n v="392.79"/>
    <n v="330.46"/>
    <n v="185396.88"/>
    <n v="185066.42"/>
  </r>
  <r>
    <s v="ORD0006"/>
    <x v="1"/>
    <s v="UK"/>
    <x v="2"/>
    <s v="Online"/>
    <s v="High"/>
    <d v="2023-01-06T00:00:00"/>
    <n v="49"/>
    <n v="308.07"/>
    <n v="113.32"/>
    <n v="15095.43"/>
    <n v="14982.11"/>
  </r>
  <r>
    <s v="ORD0007"/>
    <x v="2"/>
    <s v="Germany"/>
    <x v="2"/>
    <s v="Online"/>
    <s v="Low"/>
    <d v="2023-01-07T00:00:00"/>
    <n v="34"/>
    <n v="244.78"/>
    <n v="377.07"/>
    <n v="8322.52"/>
    <n v="7945.4500000000007"/>
  </r>
  <r>
    <s v="ORD0008"/>
    <x v="2"/>
    <s v="India"/>
    <x v="0"/>
    <s v="Online"/>
    <s v="High"/>
    <d v="2023-01-08T00:00:00"/>
    <n v="270"/>
    <n v="332.11"/>
    <n v="349.59"/>
    <n v="89669.7"/>
    <n v="89320.11"/>
  </r>
  <r>
    <s v="ORD0009"/>
    <x v="0"/>
    <s v="India"/>
    <x v="0"/>
    <s v="Online"/>
    <s v="Low"/>
    <d v="2023-01-09T00:00:00"/>
    <n v="404"/>
    <n v="278.74"/>
    <n v="66.38"/>
    <n v="112610.96"/>
    <n v="112544.58"/>
  </r>
  <r>
    <s v="ORD0010"/>
    <x v="2"/>
    <s v="USA"/>
    <x v="3"/>
    <s v="Online"/>
    <s v="Medium"/>
    <d v="2023-01-10T00:00:00"/>
    <n v="452"/>
    <n v="300.75"/>
    <n v="314.94"/>
    <n v="135939"/>
    <n v="135624.06"/>
  </r>
  <r>
    <s v="ORD0011"/>
    <x v="0"/>
    <s v="USA"/>
    <x v="1"/>
    <s v="Online"/>
    <s v="Low"/>
    <d v="2023-01-11T00:00:00"/>
    <n v="235"/>
    <n v="393"/>
    <n v="230.69"/>
    <n v="92355"/>
    <n v="92124.31"/>
  </r>
  <r>
    <s v="ORD0012"/>
    <x v="0"/>
    <s v="UK"/>
    <x v="3"/>
    <s v="Offline"/>
    <s v="Medium"/>
    <d v="2023-01-12T00:00:00"/>
    <n v="481"/>
    <n v="243.05"/>
    <n v="227.5"/>
    <n v="116907.05"/>
    <n v="116679.55"/>
  </r>
  <r>
    <s v="ORD0013"/>
    <x v="0"/>
    <s v="Germany"/>
    <x v="1"/>
    <s v="Offline"/>
    <s v="Low"/>
    <d v="2023-01-13T00:00:00"/>
    <n v="133"/>
    <n v="25.17"/>
    <n v="157.63999999999999"/>
    <n v="3347.61"/>
    <n v="3189.9700000000003"/>
  </r>
  <r>
    <s v="ORD0014"/>
    <x v="0"/>
    <s v="USA"/>
    <x v="1"/>
    <s v="Offline"/>
    <s v="Low"/>
    <d v="2023-01-14T00:00:00"/>
    <n v="472"/>
    <n v="86.18"/>
    <n v="201.46"/>
    <n v="40676.960000000006"/>
    <n v="40475.500000000007"/>
  </r>
  <r>
    <s v="ORD0015"/>
    <x v="1"/>
    <s v="India"/>
    <x v="0"/>
    <s v="Offline"/>
    <s v="Low"/>
    <d v="2023-01-15T00:00:00"/>
    <n v="47"/>
    <n v="222.11"/>
    <n v="160.08000000000001"/>
    <n v="10439.17"/>
    <n v="10279.09"/>
  </r>
  <r>
    <s v="ORD0016"/>
    <x v="2"/>
    <s v="Germany"/>
    <x v="4"/>
    <s v="Online"/>
    <s v="High"/>
    <d v="2023-01-16T00:00:00"/>
    <n v="337"/>
    <n v="363.79"/>
    <n v="216.81"/>
    <n v="122597.23000000001"/>
    <n v="122380.42000000001"/>
  </r>
  <r>
    <s v="ORD0017"/>
    <x v="1"/>
    <s v="Germany"/>
    <x v="4"/>
    <s v="Online"/>
    <s v="High"/>
    <d v="2023-01-17T00:00:00"/>
    <n v="260"/>
    <n v="298.67"/>
    <n v="251.92"/>
    <n v="77654.2"/>
    <n v="77402.28"/>
  </r>
  <r>
    <s v="ORD0018"/>
    <x v="2"/>
    <s v="India"/>
    <x v="2"/>
    <s v="Offline"/>
    <s v="Medium"/>
    <d v="2023-01-18T00:00:00"/>
    <n v="398"/>
    <n v="326.89999999999998"/>
    <n v="270.37"/>
    <n v="130106.2"/>
    <n v="129835.83"/>
  </r>
  <r>
    <s v="ORD0019"/>
    <x v="1"/>
    <s v="USA"/>
    <x v="0"/>
    <s v="Online"/>
    <s v="Medium"/>
    <d v="2023-01-19T00:00:00"/>
    <n v="185"/>
    <n v="242.24"/>
    <n v="213.93"/>
    <n v="44814.400000000001"/>
    <n v="44600.47"/>
  </r>
  <r>
    <s v="ORD0020"/>
    <x v="0"/>
    <s v="India"/>
    <x v="1"/>
    <s v="Offline"/>
    <s v="High"/>
    <d v="2023-01-20T00:00:00"/>
    <n v="99"/>
    <n v="309.79000000000002"/>
    <n v="289.13"/>
    <n v="30669.210000000003"/>
    <n v="30380.080000000002"/>
  </r>
  <r>
    <s v="ORD0021"/>
    <x v="3"/>
    <s v="Germany"/>
    <x v="4"/>
    <s v="Offline"/>
    <s v="Medium"/>
    <d v="2023-01-21T00:00:00"/>
    <n v="411"/>
    <n v="167.86"/>
    <n v="58.23"/>
    <n v="68990.460000000006"/>
    <n v="68932.23000000001"/>
  </r>
  <r>
    <s v="ORD0022"/>
    <x v="2"/>
    <s v="Australia"/>
    <x v="1"/>
    <s v="Offline"/>
    <s v="High"/>
    <d v="2023-01-22T00:00:00"/>
    <n v="463"/>
    <n v="237.74"/>
    <n v="86.37"/>
    <n v="110073.62000000001"/>
    <n v="109987.25000000001"/>
  </r>
  <r>
    <s v="ORD0023"/>
    <x v="3"/>
    <s v="Australia"/>
    <x v="4"/>
    <s v="Online"/>
    <s v="Low"/>
    <d v="2023-01-23T00:00:00"/>
    <n v="46"/>
    <n v="373.42"/>
    <n v="327.86"/>
    <n v="17177.32"/>
    <n v="16849.46"/>
  </r>
  <r>
    <s v="ORD0024"/>
    <x v="1"/>
    <s v="UK"/>
    <x v="4"/>
    <s v="Offline"/>
    <s v="Medium"/>
    <d v="2023-01-24T00:00:00"/>
    <n v="325"/>
    <n v="436.56"/>
    <n v="130.37"/>
    <n v="141882"/>
    <n v="141751.63"/>
  </r>
  <r>
    <s v="ORD0025"/>
    <x v="1"/>
    <s v="India"/>
    <x v="5"/>
    <s v="Offline"/>
    <s v="Medium"/>
    <d v="2023-01-25T00:00:00"/>
    <n v="185"/>
    <n v="219.66"/>
    <n v="11.11"/>
    <n v="40637.1"/>
    <n v="40625.99"/>
  </r>
  <r>
    <s v="ORD0026"/>
    <x v="3"/>
    <s v="India"/>
    <x v="0"/>
    <s v="Offline"/>
    <s v="High"/>
    <d v="2023-01-26T00:00:00"/>
    <n v="470"/>
    <n v="26.61"/>
    <n v="63.21"/>
    <n v="12506.699999999999"/>
    <n v="12443.49"/>
  </r>
  <r>
    <s v="ORD0027"/>
    <x v="3"/>
    <s v="UK"/>
    <x v="3"/>
    <s v="Online"/>
    <s v="Medium"/>
    <d v="2023-01-27T00:00:00"/>
    <n v="293"/>
    <n v="85.03"/>
    <n v="91"/>
    <n v="24913.79"/>
    <n v="24822.79"/>
  </r>
  <r>
    <s v="ORD0028"/>
    <x v="3"/>
    <s v="UK"/>
    <x v="1"/>
    <s v="Online"/>
    <s v="Medium"/>
    <d v="2023-01-28T00:00:00"/>
    <n v="462"/>
    <m/>
    <n v="383.01"/>
    <n v="0"/>
    <n v="-383.01"/>
  </r>
  <r>
    <s v="ORD0029"/>
    <x v="1"/>
    <s v="UK"/>
    <x v="0"/>
    <s v="Offline"/>
    <s v="Low"/>
    <d v="2023-01-29T00:00:00"/>
    <n v="470"/>
    <n v="328.37"/>
    <n v="230.07"/>
    <n v="154333.9"/>
    <n v="154103.82999999999"/>
  </r>
  <r>
    <s v="ORD0030"/>
    <x v="1"/>
    <s v="Germany"/>
    <x v="0"/>
    <s v="Online"/>
    <s v="Medium"/>
    <d v="2023-01-30T00:00:00"/>
    <n v="90"/>
    <n v="169.5"/>
    <n v="373.23"/>
    <n v="15255"/>
    <n v="14881.77"/>
  </r>
  <r>
    <s v="ORD0031"/>
    <x v="1"/>
    <s v="India"/>
    <x v="0"/>
    <s v="Online"/>
    <s v="Low"/>
    <d v="2023-01-31T00:00:00"/>
    <n v="123"/>
    <n v="273.52999999999997"/>
    <n v="230.92"/>
    <n v="33644.189999999995"/>
    <n v="33413.269999999997"/>
  </r>
  <r>
    <s v="ORD0032"/>
    <x v="2"/>
    <s v="Germany"/>
    <x v="0"/>
    <s v="Online"/>
    <s v="High"/>
    <d v="2023-02-01T00:00:00"/>
    <n v="49"/>
    <n v="249.17"/>
    <n v="192.78"/>
    <n v="12209.33"/>
    <n v="12016.55"/>
  </r>
  <r>
    <s v="ORD0033"/>
    <x v="1"/>
    <s v="UK"/>
    <x v="0"/>
    <s v="Online"/>
    <s v="Medium"/>
    <d v="2023-02-02T00:00:00"/>
    <n v="310"/>
    <n v="45.36"/>
    <n v="126.86"/>
    <n v="14061.6"/>
    <n v="13934.74"/>
  </r>
  <r>
    <s v="ORD0034"/>
    <x v="3"/>
    <s v="India"/>
    <x v="2"/>
    <s v="Online"/>
    <s v="Low"/>
    <d v="2023-02-03T00:00:00"/>
    <n v="233"/>
    <n v="204.61"/>
    <n v="243.34"/>
    <n v="47674.130000000005"/>
    <n v="47430.790000000008"/>
  </r>
  <r>
    <s v="ORD0035"/>
    <x v="3"/>
    <s v="Germany"/>
    <x v="1"/>
    <s v="Online"/>
    <s v="High"/>
    <d v="2023-02-04T00:00:00"/>
    <n v="327"/>
    <n v="114.18"/>
    <n v="57.4"/>
    <n v="37336.86"/>
    <n v="37279.46"/>
  </r>
  <r>
    <s v="ORD0036"/>
    <x v="2"/>
    <s v="Germany"/>
    <x v="0"/>
    <s v="Online"/>
    <s v="Medium"/>
    <d v="2023-02-05T00:00:00"/>
    <n v="358"/>
    <n v="212.11"/>
    <n v="359.51"/>
    <n v="75935.38"/>
    <n v="75575.87000000001"/>
  </r>
  <r>
    <s v="ORD0037"/>
    <x v="1"/>
    <s v="UK"/>
    <x v="1"/>
    <s v="Online"/>
    <s v="High"/>
    <d v="2023-02-06T00:00:00"/>
    <n v="124"/>
    <m/>
    <n v="332.07"/>
    <n v="0"/>
    <n v="-332.07"/>
  </r>
  <r>
    <s v="ORD0038"/>
    <x v="2"/>
    <s v="India"/>
    <x v="2"/>
    <s v="Online"/>
    <s v="Medium"/>
    <d v="2023-02-07T00:00:00"/>
    <n v="195"/>
    <n v="421.02"/>
    <n v="128.38"/>
    <n v="82098.899999999994"/>
    <n v="81970.51999999999"/>
  </r>
  <r>
    <s v="ORD0039"/>
    <x v="2"/>
    <s v="UK"/>
    <x v="2"/>
    <s v="Online"/>
    <s v="High"/>
    <d v="2023-02-08T00:00:00"/>
    <m/>
    <n v="91.23"/>
    <n v="381.21"/>
    <n v="0"/>
    <n v="-381.21"/>
  </r>
  <r>
    <s v="ORD0040"/>
    <x v="0"/>
    <s v="India"/>
    <x v="1"/>
    <s v="Offline"/>
    <s v="High"/>
    <d v="2023-02-09T00:00:00"/>
    <n v="65"/>
    <n v="480.59"/>
    <n v="330.43"/>
    <n v="31238.35"/>
    <n v="30907.919999999998"/>
  </r>
  <r>
    <s v="ORD0041"/>
    <x v="0"/>
    <s v="Australia"/>
    <x v="4"/>
    <s v="Offline"/>
    <s v="Low"/>
    <d v="2023-02-10T00:00:00"/>
    <n v="49"/>
    <n v="210.87"/>
    <n v="267.19"/>
    <n v="10332.630000000001"/>
    <n v="10065.44"/>
  </r>
  <r>
    <s v="ORD0042"/>
    <x v="0"/>
    <s v="USA"/>
    <x v="3"/>
    <s v="Online"/>
    <s v="High"/>
    <d v="2023-02-11T00:00:00"/>
    <n v="363"/>
    <n v="423.89"/>
    <n v="50.46"/>
    <n v="153872.07"/>
    <n v="153821.61000000002"/>
  </r>
  <r>
    <s v="ORD0043"/>
    <x v="3"/>
    <s v="USA"/>
    <x v="4"/>
    <s v="Offline"/>
    <s v="Medium"/>
    <d v="2023-02-12T00:00:00"/>
    <n v="49"/>
    <n v="316.24"/>
    <n v="192.34"/>
    <n v="15495.76"/>
    <n v="15303.42"/>
  </r>
  <r>
    <s v="ORD0044"/>
    <x v="1"/>
    <s v="USA"/>
    <x v="4"/>
    <s v="Offline"/>
    <s v="Medium"/>
    <d v="2023-02-13T00:00:00"/>
    <n v="356"/>
    <n v="369"/>
    <n v="203.43"/>
    <n v="131364"/>
    <n v="131160.57"/>
  </r>
  <r>
    <s v="ORD0045"/>
    <x v="1"/>
    <s v="UK"/>
    <x v="4"/>
    <s v="Online"/>
    <s v="Low"/>
    <d v="2023-02-14T00:00:00"/>
    <n v="470"/>
    <m/>
    <n v="94.56"/>
    <n v="0"/>
    <n v="-94.56"/>
  </r>
  <r>
    <s v="ORD0046"/>
    <x v="1"/>
    <s v="Australia"/>
    <x v="0"/>
    <s v="Online"/>
    <s v="Medium"/>
    <d v="2023-02-15T00:00:00"/>
    <n v="246"/>
    <n v="254.9"/>
    <n v="33.83"/>
    <n v="62705.4"/>
    <n v="62671.57"/>
  </r>
  <r>
    <s v="ORD0047"/>
    <x v="1"/>
    <s v="India"/>
    <x v="2"/>
    <s v="Online"/>
    <s v="Medium"/>
    <d v="2023-02-16T00:00:00"/>
    <n v="298"/>
    <n v="273.93"/>
    <n v="311.14"/>
    <n v="81631.14"/>
    <n v="81320"/>
  </r>
  <r>
    <s v="ORD0048"/>
    <x v="0"/>
    <s v="Germany"/>
    <x v="4"/>
    <s v="Offline"/>
    <s v="Medium"/>
    <d v="2023-02-17T00:00:00"/>
    <n v="271"/>
    <n v="259.43"/>
    <n v="50.57"/>
    <n v="70305.53"/>
    <n v="70254.959999999992"/>
  </r>
  <r>
    <s v="ORD0049"/>
    <x v="3"/>
    <s v="India"/>
    <x v="2"/>
    <s v="Offline"/>
    <s v="High"/>
    <d v="2023-02-18T00:00:00"/>
    <n v="225"/>
    <n v="296.08999999999997"/>
    <n v="238.53"/>
    <n v="66620.25"/>
    <n v="66381.72"/>
  </r>
  <r>
    <s v="ORD0050"/>
    <x v="1"/>
    <s v="Germany"/>
    <x v="1"/>
    <s v="Online"/>
    <s v="High"/>
    <d v="2023-02-19T00:00:00"/>
    <n v="156"/>
    <n v="19.55"/>
    <n v="374.71"/>
    <n v="3049.8"/>
    <n v="2675.09"/>
  </r>
  <r>
    <s v="ORD0051"/>
    <x v="0"/>
    <s v="India"/>
    <x v="3"/>
    <s v="Online"/>
    <s v="Medium"/>
    <d v="2023-02-20T00:00:00"/>
    <n v="345"/>
    <n v="200.78"/>
    <n v="350.69"/>
    <n v="69269.100000000006"/>
    <n v="68918.41"/>
  </r>
  <r>
    <s v="ORD0052"/>
    <x v="3"/>
    <s v="Australia"/>
    <x v="1"/>
    <s v="Online"/>
    <s v="Low"/>
    <d v="2023-02-21T00:00:00"/>
    <n v="177"/>
    <n v="305.06"/>
    <n v="112.55"/>
    <n v="53995.62"/>
    <n v="53883.07"/>
  </r>
  <r>
    <s v="ORD0053"/>
    <x v="0"/>
    <s v="Germany"/>
    <x v="1"/>
    <s v="Offline"/>
    <s v="High"/>
    <d v="2023-02-22T00:00:00"/>
    <n v="101"/>
    <n v="300.87"/>
    <n v="340.88"/>
    <n v="30387.87"/>
    <n v="30046.989999999998"/>
  </r>
  <r>
    <s v="ORD0054"/>
    <x v="1"/>
    <s v="UK"/>
    <x v="0"/>
    <s v="Offline"/>
    <s v="Low"/>
    <d v="2023-02-23T00:00:00"/>
    <n v="362"/>
    <n v="397.51"/>
    <n v="2.13"/>
    <n v="143898.62"/>
    <n v="143896.49"/>
  </r>
  <r>
    <s v="ORD0055"/>
    <x v="0"/>
    <s v="India"/>
    <x v="3"/>
    <s v="Offline"/>
    <s v="Medium"/>
    <d v="2023-02-24T00:00:00"/>
    <n v="68"/>
    <n v="329.23"/>
    <n v="9.0399999999999991"/>
    <n v="22387.64"/>
    <n v="22378.6"/>
  </r>
  <r>
    <s v="ORD0056"/>
    <x v="1"/>
    <s v="India"/>
    <x v="1"/>
    <s v="Offline"/>
    <s v="Medium"/>
    <d v="2023-02-25T00:00:00"/>
    <n v="68"/>
    <n v="496.11"/>
    <n v="241.82"/>
    <n v="33735.480000000003"/>
    <n v="33493.660000000003"/>
  </r>
  <r>
    <s v="ORD0057"/>
    <x v="1"/>
    <s v="Germany"/>
    <x v="1"/>
    <s v="Online"/>
    <s v="High"/>
    <d v="2023-02-26T00:00:00"/>
    <n v="313"/>
    <n v="145.51"/>
    <n v="147.19"/>
    <n v="45544.63"/>
    <n v="45397.439999999995"/>
  </r>
  <r>
    <s v="ORD0058"/>
    <x v="2"/>
    <s v="UK"/>
    <x v="3"/>
    <s v="Online"/>
    <s v="Medium"/>
    <d v="2023-02-27T00:00:00"/>
    <n v="178"/>
    <n v="182.78"/>
    <n v="155.81"/>
    <n v="32534.84"/>
    <n v="32379.03"/>
  </r>
  <r>
    <s v="ORD0059"/>
    <x v="0"/>
    <s v="UK"/>
    <x v="3"/>
    <s v="Online"/>
    <s v="High"/>
    <d v="2023-02-28T00:00:00"/>
    <n v="278"/>
    <n v="195"/>
    <n v="226.65"/>
    <n v="54210"/>
    <n v="53983.35"/>
  </r>
  <r>
    <s v="ORD0060"/>
    <x v="2"/>
    <s v="Australia"/>
    <x v="1"/>
    <s v="Online"/>
    <s v="Medium"/>
    <d v="2023-03-01T00:00:00"/>
    <n v="372"/>
    <n v="235.58"/>
    <n v="78.33"/>
    <n v="87635.760000000009"/>
    <n v="87557.430000000008"/>
  </r>
  <r>
    <s v="ORD0061"/>
    <x v="0"/>
    <s v="UK"/>
    <x v="3"/>
    <s v="Offline"/>
    <s v="Medium"/>
    <d v="2023-03-02T00:00:00"/>
    <n v="54"/>
    <n v="418.82"/>
    <n v="86.28"/>
    <n v="22616.28"/>
    <n v="22530"/>
  </r>
  <r>
    <s v="ORD0062"/>
    <x v="0"/>
    <s v="UK"/>
    <x v="1"/>
    <s v="Offline"/>
    <s v="High"/>
    <d v="2023-03-03T00:00:00"/>
    <n v="354"/>
    <n v="121.72"/>
    <n v="194.87"/>
    <n v="43088.88"/>
    <n v="42894.009999999995"/>
  </r>
  <r>
    <s v="ORD0063"/>
    <x v="2"/>
    <s v="UK"/>
    <x v="1"/>
    <s v="Online"/>
    <s v="High"/>
    <d v="2023-03-04T00:00:00"/>
    <n v="190"/>
    <n v="389.12"/>
    <n v="302.19"/>
    <n v="73932.800000000003"/>
    <n v="73630.61"/>
  </r>
  <r>
    <s v="ORD0064"/>
    <x v="2"/>
    <s v="USA"/>
    <x v="0"/>
    <s v="Online"/>
    <s v="High"/>
    <d v="2023-03-05T00:00:00"/>
    <n v="179"/>
    <n v="205.63"/>
    <n v="248.56"/>
    <n v="36807.769999999997"/>
    <n v="36559.21"/>
  </r>
  <r>
    <s v="ORD0065"/>
    <x v="0"/>
    <s v="Australia"/>
    <x v="4"/>
    <s v="Offline"/>
    <s v="Medium"/>
    <d v="2023-03-06T00:00:00"/>
    <n v="365"/>
    <n v="302.92"/>
    <n v="120.35"/>
    <n v="110565.8"/>
    <n v="110445.45"/>
  </r>
  <r>
    <s v="ORD0066"/>
    <x v="3"/>
    <s v="India"/>
    <x v="1"/>
    <s v="Online"/>
    <s v="Medium"/>
    <d v="2023-03-07T00:00:00"/>
    <n v="200"/>
    <n v="318.11"/>
    <n v="173.27"/>
    <n v="63622"/>
    <n v="63448.73"/>
  </r>
  <r>
    <s v="ORD0067"/>
    <x v="1"/>
    <s v="Germany"/>
    <x v="2"/>
    <s v="Offline"/>
    <s v="Low"/>
    <d v="2023-03-08T00:00:00"/>
    <n v="164"/>
    <n v="189.56"/>
    <n v="69.92"/>
    <n v="31087.84"/>
    <n v="31017.920000000002"/>
  </r>
  <r>
    <s v="ORD0068"/>
    <x v="2"/>
    <s v="India"/>
    <x v="4"/>
    <s v="Online"/>
    <s v="High"/>
    <d v="2023-03-09T00:00:00"/>
    <n v="431"/>
    <n v="258.74"/>
    <n v="31.7"/>
    <n v="111516.94"/>
    <n v="111485.24"/>
  </r>
  <r>
    <s v="ORD0069"/>
    <x v="1"/>
    <s v="Australia"/>
    <x v="4"/>
    <s v="Online"/>
    <s v="Medium"/>
    <d v="2023-03-10T00:00:00"/>
    <n v="197"/>
    <n v="209.45"/>
    <n v="313.51"/>
    <n v="41261.649999999994"/>
    <n v="40948.139999999992"/>
  </r>
  <r>
    <s v="ORD0070"/>
    <x v="3"/>
    <s v="Germany"/>
    <x v="4"/>
    <s v="Online"/>
    <s v="Medium"/>
    <d v="2023-03-11T00:00:00"/>
    <n v="16"/>
    <n v="39.22"/>
    <n v="107.62"/>
    <n v="627.52"/>
    <n v="519.9"/>
  </r>
  <r>
    <s v="ORD0071"/>
    <x v="3"/>
    <s v="Australia"/>
    <x v="0"/>
    <s v="Online"/>
    <s v="High"/>
    <d v="2023-03-12T00:00:00"/>
    <n v="142"/>
    <n v="221.4"/>
    <n v="72.75"/>
    <n v="31438.799999999999"/>
    <n v="31366.05"/>
  </r>
  <r>
    <s v="ORD0072"/>
    <x v="3"/>
    <s v="UK"/>
    <x v="1"/>
    <s v="Online"/>
    <s v="Low"/>
    <d v="2023-03-13T00:00:00"/>
    <n v="244"/>
    <n v="53.21"/>
    <n v="277.26"/>
    <n v="12983.24"/>
    <n v="12705.98"/>
  </r>
  <r>
    <s v="ORD0073"/>
    <x v="2"/>
    <s v="Germany"/>
    <x v="0"/>
    <s v="Online"/>
    <s v="High"/>
    <d v="2023-03-14T00:00:00"/>
    <n v="54"/>
    <n v="205.49"/>
    <n v="247.98"/>
    <n v="11096.460000000001"/>
    <n v="10848.480000000001"/>
  </r>
  <r>
    <s v="ORD0074"/>
    <x v="3"/>
    <s v="UK"/>
    <x v="1"/>
    <s v="Online"/>
    <s v="Low"/>
    <d v="2023-03-15T00:00:00"/>
    <n v="323"/>
    <n v="298.49"/>
    <n v="254.01"/>
    <n v="96412.27"/>
    <n v="96158.260000000009"/>
  </r>
  <r>
    <s v="ORD0075"/>
    <x v="2"/>
    <s v="India"/>
    <x v="0"/>
    <s v="Offline"/>
    <s v="Medium"/>
    <d v="2023-03-16T00:00:00"/>
    <n v="258"/>
    <n v="291.81"/>
    <n v="93.1"/>
    <n v="75286.98"/>
    <n v="75193.87999999999"/>
  </r>
  <r>
    <s v="ORD0076"/>
    <x v="3"/>
    <s v="India"/>
    <x v="0"/>
    <s v="Offline"/>
    <s v="Low"/>
    <d v="2023-03-17T00:00:00"/>
    <n v="40"/>
    <n v="333"/>
    <n v="94.59"/>
    <n v="13320"/>
    <n v="13225.41"/>
  </r>
  <r>
    <s v="ORD0077"/>
    <x v="1"/>
    <s v="Germany"/>
    <x v="2"/>
    <s v="Offline"/>
    <s v="Medium"/>
    <d v="2023-03-18T00:00:00"/>
    <n v="32"/>
    <n v="52.15"/>
    <n v="89.88"/>
    <n v="1668.8"/>
    <n v="1578.92"/>
  </r>
  <r>
    <s v="ORD0078"/>
    <x v="1"/>
    <s v="Germany"/>
    <x v="0"/>
    <s v="Offline"/>
    <s v="High"/>
    <d v="2023-03-19T00:00:00"/>
    <n v="435"/>
    <n v="327.8"/>
    <n v="71.150000000000006"/>
    <n v="142593"/>
    <n v="142521.85"/>
  </r>
  <r>
    <s v="ORD0079"/>
    <x v="0"/>
    <s v="Australia"/>
    <x v="3"/>
    <s v="Offline"/>
    <s v="High"/>
    <d v="2023-03-20T00:00:00"/>
    <n v="403"/>
    <n v="159.51"/>
    <n v="262.98"/>
    <n v="64282.53"/>
    <n v="64019.549999999996"/>
  </r>
  <r>
    <s v="ORD0080"/>
    <x v="1"/>
    <s v="Australia"/>
    <x v="2"/>
    <s v="Online"/>
    <s v="High"/>
    <d v="2023-03-21T00:00:00"/>
    <n v="169"/>
    <m/>
    <n v="339.51"/>
    <n v="0"/>
    <n v="-339.51"/>
  </r>
  <r>
    <s v="ORD0081"/>
    <x v="0"/>
    <s v="UK"/>
    <x v="0"/>
    <s v="Online"/>
    <s v="Low"/>
    <d v="2023-03-22T00:00:00"/>
    <n v="372"/>
    <n v="429.7"/>
    <n v="290.27999999999997"/>
    <n v="159848.4"/>
    <n v="159558.12"/>
  </r>
  <r>
    <s v="ORD0082"/>
    <x v="1"/>
    <s v="Germany"/>
    <x v="4"/>
    <s v="Offline"/>
    <s v="Medium"/>
    <d v="2023-03-23T00:00:00"/>
    <n v="446"/>
    <n v="9.4700000000000006"/>
    <n v="317.25"/>
    <n v="4223.62"/>
    <n v="3906.37"/>
  </r>
  <r>
    <s v="ORD0083"/>
    <x v="2"/>
    <s v="India"/>
    <x v="3"/>
    <s v="Online"/>
    <s v="High"/>
    <d v="2023-03-24T00:00:00"/>
    <n v="167"/>
    <n v="296.26"/>
    <n v="163.11000000000001"/>
    <n v="49475.42"/>
    <n v="49312.31"/>
  </r>
  <r>
    <s v="ORD0084"/>
    <x v="1"/>
    <s v="Australia"/>
    <x v="3"/>
    <s v="Offline"/>
    <s v="High"/>
    <d v="2023-03-25T00:00:00"/>
    <n v="48"/>
    <n v="301.36"/>
    <n v="262.32"/>
    <n v="14465.28"/>
    <n v="14202.960000000001"/>
  </r>
  <r>
    <s v="ORD0085"/>
    <x v="0"/>
    <s v="Australia"/>
    <x v="3"/>
    <s v="Offline"/>
    <s v="Medium"/>
    <d v="2023-03-26T00:00:00"/>
    <n v="424"/>
    <n v="201.35"/>
    <n v="142.99"/>
    <n v="85372.4"/>
    <n v="85229.409999999989"/>
  </r>
  <r>
    <s v="ORD0086"/>
    <x v="0"/>
    <s v="India"/>
    <x v="2"/>
    <s v="Online"/>
    <s v="High"/>
    <d v="2023-03-27T00:00:00"/>
    <n v="91"/>
    <n v="122.33"/>
    <n v="211.15"/>
    <n v="11132.03"/>
    <n v="10920.880000000001"/>
  </r>
  <r>
    <s v="ORD0087"/>
    <x v="3"/>
    <s v="Australia"/>
    <x v="0"/>
    <s v="Online"/>
    <s v="Medium"/>
    <d v="2023-03-28T00:00:00"/>
    <n v="365"/>
    <n v="121.16"/>
    <n v="193.69"/>
    <n v="44223.4"/>
    <n v="44029.71"/>
  </r>
  <r>
    <s v="ORD0088"/>
    <x v="2"/>
    <s v="UK"/>
    <x v="0"/>
    <s v="Online"/>
    <s v="Medium"/>
    <d v="2023-03-29T00:00:00"/>
    <n v="267"/>
    <n v="442.44"/>
    <n v="72.400000000000006"/>
    <n v="118131.48"/>
    <n v="118059.08"/>
  </r>
  <r>
    <s v="ORD0089"/>
    <x v="1"/>
    <s v="Germany"/>
    <x v="4"/>
    <s v="Offline"/>
    <s v="Medium"/>
    <d v="2023-03-30T00:00:00"/>
    <n v="215"/>
    <n v="223.8"/>
    <n v="156.06"/>
    <n v="48117"/>
    <n v="47960.94"/>
  </r>
  <r>
    <s v="ORD0090"/>
    <x v="3"/>
    <s v="India"/>
    <x v="4"/>
    <s v="Online"/>
    <s v="Medium"/>
    <d v="2023-03-31T00:00:00"/>
    <n v="86"/>
    <n v="168.79"/>
    <n v="385.6"/>
    <n v="14515.939999999999"/>
    <n v="14130.339999999998"/>
  </r>
  <r>
    <s v="ORD0091"/>
    <x v="1"/>
    <s v="Germany"/>
    <x v="3"/>
    <s v="Offline"/>
    <s v="Medium"/>
    <d v="2023-04-01T00:00:00"/>
    <n v="486"/>
    <n v="227.14"/>
    <n v="100.93"/>
    <n v="110390.04"/>
    <n v="110289.11"/>
  </r>
  <r>
    <s v="ORD0092"/>
    <x v="1"/>
    <s v="Australia"/>
    <x v="4"/>
    <s v="Offline"/>
    <s v="Low"/>
    <d v="2023-04-02T00:00:00"/>
    <n v="21"/>
    <m/>
    <n v="55.25"/>
    <n v="0"/>
    <n v="-55.25"/>
  </r>
  <r>
    <s v="ORD0093"/>
    <x v="3"/>
    <s v="Australia"/>
    <x v="2"/>
    <s v="Offline"/>
    <s v="High"/>
    <d v="2023-04-03T00:00:00"/>
    <n v="304"/>
    <n v="77.150000000000006"/>
    <n v="168.6"/>
    <n v="23453.600000000002"/>
    <n v="23285.000000000004"/>
  </r>
  <r>
    <s v="ORD0094"/>
    <x v="3"/>
    <s v="India"/>
    <x v="0"/>
    <s v="Online"/>
    <s v="Low"/>
    <d v="2023-04-04T00:00:00"/>
    <n v="459"/>
    <n v="227.47"/>
    <n v="316.55"/>
    <n v="104408.73"/>
    <n v="104092.18"/>
  </r>
  <r>
    <s v="ORD0095"/>
    <x v="3"/>
    <s v="UK"/>
    <x v="3"/>
    <s v="Online"/>
    <s v="High"/>
    <d v="2023-04-05T00:00:00"/>
    <n v="233"/>
    <n v="296"/>
    <n v="233.69"/>
    <n v="68968"/>
    <n v="68734.31"/>
  </r>
  <r>
    <s v="ORD0096"/>
    <x v="3"/>
    <s v="USA"/>
    <x v="4"/>
    <s v="Offline"/>
    <s v="Low"/>
    <d v="2023-04-06T00:00:00"/>
    <n v="22"/>
    <n v="474.55"/>
    <n v="273.02999999999997"/>
    <n v="10440.1"/>
    <n v="10167.07"/>
  </r>
  <r>
    <s v="ORD0097"/>
    <x v="3"/>
    <s v="India"/>
    <x v="2"/>
    <s v="Online"/>
    <s v="Medium"/>
    <d v="2023-04-07T00:00:00"/>
    <n v="55"/>
    <n v="130"/>
    <n v="77.5"/>
    <n v="7150"/>
    <n v="7072.5"/>
  </r>
  <r>
    <s v="ORD0098"/>
    <x v="1"/>
    <s v="USA"/>
    <x v="2"/>
    <s v="Online"/>
    <s v="High"/>
    <d v="2023-04-08T00:00:00"/>
    <n v="164"/>
    <n v="182.83"/>
    <n v="248.34"/>
    <n v="29984.120000000003"/>
    <n v="29735.780000000002"/>
  </r>
  <r>
    <s v="ORD0099"/>
    <x v="3"/>
    <s v="USA"/>
    <x v="4"/>
    <s v="Online"/>
    <s v="High"/>
    <d v="2023-04-09T00:00:00"/>
    <n v="122"/>
    <n v="192.78"/>
    <n v="130.75"/>
    <n v="23519.16"/>
    <n v="23388.41"/>
  </r>
  <r>
    <s v="ORD0100"/>
    <x v="2"/>
    <s v="UK"/>
    <x v="0"/>
    <s v="Offline"/>
    <s v="Low"/>
    <d v="2023-04-10T00:00:00"/>
    <n v="242"/>
    <n v="304.74"/>
    <n v="334.05"/>
    <n v="73747.08"/>
    <n v="73413.03"/>
  </r>
  <r>
    <s v="ORD0101"/>
    <x v="0"/>
    <s v="USA"/>
    <x v="4"/>
    <s v="Offline"/>
    <s v="Low"/>
    <d v="2023-04-11T00:00:00"/>
    <n v="26"/>
    <n v="181.58"/>
    <n v="252.46"/>
    <n v="4721.08"/>
    <n v="4468.62"/>
  </r>
  <r>
    <s v="ORD0102"/>
    <x v="3"/>
    <s v="USA"/>
    <x v="3"/>
    <s v="Online"/>
    <s v="High"/>
    <d v="2023-04-12T00:00:00"/>
    <n v="369"/>
    <n v="269.08999999999997"/>
    <n v="81.14"/>
    <n v="99294.209999999992"/>
    <n v="99213.069999999992"/>
  </r>
  <r>
    <s v="ORD0103"/>
    <x v="3"/>
    <s v="UK"/>
    <x v="4"/>
    <s v="Offline"/>
    <s v="Low"/>
    <d v="2023-04-13T00:00:00"/>
    <n v="232"/>
    <n v="391.99"/>
    <n v="27.72"/>
    <n v="90941.680000000008"/>
    <n v="90913.96"/>
  </r>
  <r>
    <s v="ORD0104"/>
    <x v="1"/>
    <s v="USA"/>
    <x v="2"/>
    <s v="Online"/>
    <s v="Low"/>
    <d v="2023-04-14T00:00:00"/>
    <n v="363"/>
    <n v="354.17"/>
    <n v="18.97"/>
    <n v="128563.71"/>
    <n v="128544.74"/>
  </r>
  <r>
    <s v="ORD0105"/>
    <x v="3"/>
    <s v="USA"/>
    <x v="4"/>
    <s v="Online"/>
    <s v="Low"/>
    <d v="2023-04-15T00:00:00"/>
    <n v="197"/>
    <n v="225.95"/>
    <n v="149.82"/>
    <n v="44512.149999999994"/>
    <n v="44362.329999999994"/>
  </r>
  <r>
    <s v="ORD0106"/>
    <x v="3"/>
    <s v="USA"/>
    <x v="0"/>
    <s v="Online"/>
    <s v="Medium"/>
    <d v="2023-04-16T00:00:00"/>
    <n v="457"/>
    <n v="432.79"/>
    <n v="107.81"/>
    <n v="197785.03"/>
    <n v="197677.22"/>
  </r>
  <r>
    <s v="ORD0107"/>
    <x v="3"/>
    <s v="India"/>
    <x v="1"/>
    <s v="Online"/>
    <s v="Medium"/>
    <d v="2023-04-17T00:00:00"/>
    <n v="353"/>
    <n v="281.27999999999997"/>
    <n v="259.14"/>
    <n v="99291.839999999997"/>
    <n v="99032.7"/>
  </r>
  <r>
    <s v="ORD0108"/>
    <x v="1"/>
    <s v="India"/>
    <x v="4"/>
    <s v="Offline"/>
    <s v="Low"/>
    <d v="2023-04-18T00:00:00"/>
    <n v="374"/>
    <n v="272.25"/>
    <n v="200.73"/>
    <n v="101821.5"/>
    <n v="101620.77"/>
  </r>
  <r>
    <s v="ORD0109"/>
    <x v="3"/>
    <s v="India"/>
    <x v="0"/>
    <s v="Offline"/>
    <s v="Low"/>
    <d v="2023-04-19T00:00:00"/>
    <n v="172"/>
    <n v="21.92"/>
    <n v="107.88"/>
    <n v="3770.2400000000002"/>
    <n v="3662.36"/>
  </r>
  <r>
    <s v="ORD0110"/>
    <x v="0"/>
    <s v="UK"/>
    <x v="0"/>
    <s v="Offline"/>
    <s v="Medium"/>
    <d v="2023-04-20T00:00:00"/>
    <n v="335"/>
    <n v="493.41"/>
    <n v="61.4"/>
    <n v="165292.35"/>
    <n v="165230.95000000001"/>
  </r>
  <r>
    <s v="ORD0111"/>
    <x v="1"/>
    <s v="Australia"/>
    <x v="2"/>
    <s v="Online"/>
    <s v="Medium"/>
    <d v="2023-04-21T00:00:00"/>
    <n v="476"/>
    <n v="65.87"/>
    <n v="52.63"/>
    <n v="31354.120000000003"/>
    <n v="31301.49"/>
  </r>
  <r>
    <s v="ORD0112"/>
    <x v="0"/>
    <s v="USA"/>
    <x v="0"/>
    <s v="Online"/>
    <s v="High"/>
    <d v="2023-04-22T00:00:00"/>
    <n v="423"/>
    <n v="119.41"/>
    <n v="346.13"/>
    <n v="50510.43"/>
    <n v="50164.3"/>
  </r>
  <r>
    <s v="ORD0113"/>
    <x v="1"/>
    <s v="USA"/>
    <x v="0"/>
    <s v="Online"/>
    <s v="High"/>
    <d v="2023-04-23T00:00:00"/>
    <n v="464"/>
    <n v="30.59"/>
    <n v="98.9"/>
    <n v="14193.76"/>
    <n v="14094.86"/>
  </r>
  <r>
    <s v="ORD0114"/>
    <x v="3"/>
    <s v="UK"/>
    <x v="0"/>
    <s v="Offline"/>
    <s v="Medium"/>
    <d v="2023-04-24T00:00:00"/>
    <n v="83"/>
    <n v="321.8"/>
    <n v="261.38"/>
    <n v="26709.4"/>
    <n v="26448.02"/>
  </r>
  <r>
    <s v="ORD0115"/>
    <x v="0"/>
    <s v="USA"/>
    <x v="0"/>
    <s v="Online"/>
    <s v="Low"/>
    <d v="2023-04-25T00:00:00"/>
    <n v="242"/>
    <n v="116.23"/>
    <n v="324.64999999999998"/>
    <n v="28127.66"/>
    <n v="27803.01"/>
  </r>
  <r>
    <s v="ORD0116"/>
    <x v="1"/>
    <s v="India"/>
    <x v="3"/>
    <s v="Offline"/>
    <s v="Low"/>
    <d v="2023-04-26T00:00:00"/>
    <n v="233"/>
    <n v="94.11"/>
    <n v="246.4"/>
    <n v="21927.63"/>
    <n v="21681.23"/>
  </r>
  <r>
    <s v="ORD0117"/>
    <x v="2"/>
    <s v="Australia"/>
    <x v="3"/>
    <s v="Offline"/>
    <s v="Low"/>
    <d v="2023-04-27T00:00:00"/>
    <n v="491"/>
    <n v="48.84"/>
    <n v="344.11"/>
    <n v="23980.440000000002"/>
    <n v="23636.33"/>
  </r>
  <r>
    <s v="ORD0118"/>
    <x v="1"/>
    <s v="Germany"/>
    <x v="2"/>
    <s v="Offline"/>
    <s v="Low"/>
    <d v="2023-04-28T00:00:00"/>
    <n v="328"/>
    <n v="56.14"/>
    <n v="158.16999999999999"/>
    <n v="18413.920000000002"/>
    <n v="18255.750000000004"/>
  </r>
  <r>
    <s v="ORD0119"/>
    <x v="1"/>
    <s v="USA"/>
    <x v="4"/>
    <s v="Offline"/>
    <s v="High"/>
    <d v="2023-04-29T00:00:00"/>
    <n v="421"/>
    <n v="294.41000000000003"/>
    <n v="382.58"/>
    <n v="123946.61000000002"/>
    <n v="123564.03000000001"/>
  </r>
  <r>
    <s v="ORD0120"/>
    <x v="2"/>
    <s v="India"/>
    <x v="0"/>
    <s v="Offline"/>
    <s v="Medium"/>
    <d v="2023-04-30T00:00:00"/>
    <n v="69"/>
    <n v="345.66"/>
    <n v="54.99"/>
    <n v="23850.54"/>
    <n v="23795.55"/>
  </r>
  <r>
    <s v="ORD0121"/>
    <x v="1"/>
    <s v="Germany"/>
    <x v="4"/>
    <s v="Offline"/>
    <s v="Low"/>
    <d v="2023-05-01T00:00:00"/>
    <n v="344"/>
    <n v="201.7"/>
    <n v="42.66"/>
    <n v="69384.800000000003"/>
    <n v="69342.14"/>
  </r>
  <r>
    <s v="ORD0122"/>
    <x v="2"/>
    <s v="Australia"/>
    <x v="4"/>
    <s v="Online"/>
    <s v="High"/>
    <d v="2023-05-02T00:00:00"/>
    <n v="231"/>
    <n v="242.55"/>
    <n v="264.16000000000003"/>
    <n v="56029.05"/>
    <n v="55764.89"/>
  </r>
  <r>
    <s v="ORD0123"/>
    <x v="3"/>
    <s v="Germany"/>
    <x v="2"/>
    <s v="Online"/>
    <s v="Low"/>
    <d v="2023-05-03T00:00:00"/>
    <n v="46"/>
    <n v="344.55"/>
    <n v="377.25"/>
    <n v="15849.300000000001"/>
    <n v="15472.050000000001"/>
  </r>
  <r>
    <s v="ORD0124"/>
    <x v="0"/>
    <s v="India"/>
    <x v="0"/>
    <s v="Offline"/>
    <s v="Medium"/>
    <d v="2023-05-04T00:00:00"/>
    <n v="486"/>
    <n v="13.6"/>
    <n v="323.94"/>
    <n v="6609.5999999999995"/>
    <n v="6285.66"/>
  </r>
  <r>
    <s v="ORD0125"/>
    <x v="2"/>
    <s v="Germany"/>
    <x v="0"/>
    <s v="Offline"/>
    <s v="High"/>
    <d v="2023-05-05T00:00:00"/>
    <n v="287"/>
    <n v="164.95"/>
    <n v="32.409999999999997"/>
    <n v="47340.649999999994"/>
    <n v="47308.239999999991"/>
  </r>
  <r>
    <s v="ORD0126"/>
    <x v="1"/>
    <s v="UK"/>
    <x v="1"/>
    <s v="Online"/>
    <s v="Medium"/>
    <d v="2023-05-06T00:00:00"/>
    <n v="205"/>
    <n v="486.68"/>
    <n v="113.19"/>
    <n v="99769.4"/>
    <n v="99656.209999999992"/>
  </r>
  <r>
    <s v="ORD0127"/>
    <x v="3"/>
    <s v="Germany"/>
    <x v="4"/>
    <s v="Offline"/>
    <s v="Medium"/>
    <d v="2023-05-07T00:00:00"/>
    <n v="413"/>
    <n v="292.16000000000003"/>
    <n v="372.27"/>
    <n v="120662.08000000002"/>
    <n v="120289.81000000001"/>
  </r>
  <r>
    <s v="ORD0128"/>
    <x v="2"/>
    <s v="USA"/>
    <x v="4"/>
    <s v="Offline"/>
    <s v="High"/>
    <d v="2023-05-08T00:00:00"/>
    <n v="361"/>
    <n v="130.84"/>
    <n v="102.72"/>
    <n v="47233.24"/>
    <n v="47130.52"/>
  </r>
  <r>
    <s v="ORD0129"/>
    <x v="1"/>
    <s v="USA"/>
    <x v="3"/>
    <s v="Online"/>
    <s v="High"/>
    <d v="2023-05-09T00:00:00"/>
    <n v="493"/>
    <n v="263.26"/>
    <n v="312.91000000000003"/>
    <n v="129787.18"/>
    <n v="129474.26999999999"/>
  </r>
  <r>
    <s v="ORD0130"/>
    <x v="1"/>
    <s v="UK"/>
    <x v="1"/>
    <s v="Offline"/>
    <s v="High"/>
    <d v="2023-05-10T00:00:00"/>
    <n v="251"/>
    <n v="174.61"/>
    <n v="330.4"/>
    <n v="43827.11"/>
    <n v="43496.71"/>
  </r>
  <r>
    <s v="ORD0131"/>
    <x v="1"/>
    <s v="India"/>
    <x v="3"/>
    <s v="Offline"/>
    <s v="High"/>
    <d v="2023-05-11T00:00:00"/>
    <m/>
    <n v="268.45999999999998"/>
    <n v="199.19"/>
    <n v="0"/>
    <n v="-199.19"/>
  </r>
  <r>
    <s v="ORD0132"/>
    <x v="2"/>
    <s v="USA"/>
    <x v="3"/>
    <s v="Offline"/>
    <s v="High"/>
    <d v="2023-05-12T00:00:00"/>
    <n v="228"/>
    <n v="67.239999999999995"/>
    <n v="155.77000000000001"/>
    <n v="15330.72"/>
    <n v="15174.949999999999"/>
  </r>
  <r>
    <s v="ORD0133"/>
    <x v="2"/>
    <s v="Australia"/>
    <x v="3"/>
    <s v="Online"/>
    <s v="High"/>
    <d v="2023-05-13T00:00:00"/>
    <n v="201"/>
    <n v="70.69"/>
    <n v="181.15"/>
    <n v="14208.689999999999"/>
    <n v="14027.539999999999"/>
  </r>
  <r>
    <s v="ORD0134"/>
    <x v="2"/>
    <s v="USA"/>
    <x v="2"/>
    <s v="Online"/>
    <s v="High"/>
    <d v="2023-05-14T00:00:00"/>
    <n v="26"/>
    <n v="76.05"/>
    <n v="92.33"/>
    <n v="1977.3"/>
    <n v="1884.97"/>
  </r>
  <r>
    <s v="ORD0135"/>
    <x v="0"/>
    <s v="USA"/>
    <x v="2"/>
    <s v="Online"/>
    <s v="Low"/>
    <d v="2023-05-15T00:00:00"/>
    <n v="21"/>
    <n v="470.21"/>
    <n v="355.98"/>
    <n v="9874.41"/>
    <n v="9518.43"/>
  </r>
  <r>
    <s v="ORD0136"/>
    <x v="2"/>
    <s v="India"/>
    <x v="3"/>
    <s v="Offline"/>
    <s v="Medium"/>
    <d v="2023-05-16T00:00:00"/>
    <n v="415"/>
    <n v="367.78"/>
    <n v="181.35"/>
    <n v="152628.69999999998"/>
    <n v="152447.34999999998"/>
  </r>
  <r>
    <s v="ORD0137"/>
    <x v="2"/>
    <s v="Germany"/>
    <x v="1"/>
    <s v="Offline"/>
    <s v="High"/>
    <d v="2023-05-17T00:00:00"/>
    <n v="410"/>
    <n v="85.38"/>
    <n v="353.22"/>
    <n v="35005.799999999996"/>
    <n v="34652.579999999994"/>
  </r>
  <r>
    <s v="ORD0138"/>
    <x v="2"/>
    <s v="USA"/>
    <x v="4"/>
    <s v="Online"/>
    <s v="Low"/>
    <d v="2023-05-18T00:00:00"/>
    <n v="403"/>
    <n v="98.23"/>
    <n v="44.07"/>
    <n v="39586.69"/>
    <n v="39542.620000000003"/>
  </r>
  <r>
    <s v="ORD0139"/>
    <x v="0"/>
    <s v="UK"/>
    <x v="1"/>
    <s v="Offline"/>
    <s v="Low"/>
    <d v="2023-05-19T00:00:00"/>
    <n v="383"/>
    <n v="366.76"/>
    <n v="395.33"/>
    <n v="140469.07999999999"/>
    <n v="140073.75"/>
  </r>
  <r>
    <s v="ORD0140"/>
    <x v="2"/>
    <s v="Germany"/>
    <x v="0"/>
    <s v="Offline"/>
    <s v="Low"/>
    <d v="2023-05-20T00:00:00"/>
    <n v="202"/>
    <n v="82.3"/>
    <n v="178.42"/>
    <n v="16624.599999999999"/>
    <n v="16446.18"/>
  </r>
  <r>
    <s v="ORD0141"/>
    <x v="1"/>
    <s v="Australia"/>
    <x v="2"/>
    <s v="Offline"/>
    <s v="Medium"/>
    <d v="2023-05-21T00:00:00"/>
    <n v="31"/>
    <n v="121.11"/>
    <n v="21.04"/>
    <n v="3754.41"/>
    <n v="3733.37"/>
  </r>
  <r>
    <s v="ORD0142"/>
    <x v="2"/>
    <s v="India"/>
    <x v="4"/>
    <s v="Offline"/>
    <s v="High"/>
    <d v="2023-05-22T00:00:00"/>
    <n v="483"/>
    <n v="481.86"/>
    <n v="17.13"/>
    <n v="232738.38"/>
    <n v="232721.25"/>
  </r>
  <r>
    <s v="ORD0143"/>
    <x v="1"/>
    <s v="Australia"/>
    <x v="4"/>
    <s v="Offline"/>
    <s v="Low"/>
    <d v="2023-05-23T00:00:00"/>
    <n v="129"/>
    <n v="131.38"/>
    <n v="298.99"/>
    <n v="16948.02"/>
    <n v="16649.03"/>
  </r>
  <r>
    <s v="ORD0144"/>
    <x v="1"/>
    <s v="Germany"/>
    <x v="0"/>
    <s v="Online"/>
    <s v="Medium"/>
    <d v="2023-05-24T00:00:00"/>
    <n v="219"/>
    <n v="332.51"/>
    <n v="264.3"/>
    <n v="72819.69"/>
    <n v="72555.39"/>
  </r>
  <r>
    <s v="ORD0145"/>
    <x v="1"/>
    <s v="Germany"/>
    <x v="0"/>
    <s v="Offline"/>
    <s v="Medium"/>
    <d v="2023-05-25T00:00:00"/>
    <n v="315"/>
    <n v="489.42"/>
    <n v="321.25"/>
    <n v="154167.30000000002"/>
    <n v="153846.05000000002"/>
  </r>
  <r>
    <s v="ORD0146"/>
    <x v="0"/>
    <s v="Germany"/>
    <x v="3"/>
    <s v="Online"/>
    <s v="Medium"/>
    <d v="2023-05-26T00:00:00"/>
    <n v="279"/>
    <n v="190.28"/>
    <n v="43.94"/>
    <n v="53088.12"/>
    <n v="53044.18"/>
  </r>
  <r>
    <s v="ORD0147"/>
    <x v="0"/>
    <s v="Australia"/>
    <x v="2"/>
    <s v="Offline"/>
    <s v="Low"/>
    <d v="2023-05-27T00:00:00"/>
    <n v="201"/>
    <n v="13.67"/>
    <n v="16.16"/>
    <n v="2747.67"/>
    <n v="2731.51"/>
  </r>
  <r>
    <s v="ORD0148"/>
    <x v="0"/>
    <s v="Germany"/>
    <x v="2"/>
    <s v="Online"/>
    <s v="High"/>
    <d v="2023-05-28T00:00:00"/>
    <n v="184"/>
    <n v="125.85"/>
    <n v="204.41"/>
    <n v="23156.399999999998"/>
    <n v="22951.989999999998"/>
  </r>
  <r>
    <s v="ORD0149"/>
    <x v="2"/>
    <s v="Australia"/>
    <x v="1"/>
    <s v="Offline"/>
    <s v="Low"/>
    <d v="2023-05-29T00:00:00"/>
    <n v="294"/>
    <n v="416.28"/>
    <n v="156.26"/>
    <n v="122386.31999999999"/>
    <n v="122230.06"/>
  </r>
  <r>
    <s v="ORD0150"/>
    <x v="1"/>
    <s v="Germany"/>
    <x v="3"/>
    <s v="Online"/>
    <s v="Low"/>
    <d v="2023-05-30T00:00:00"/>
    <n v="213"/>
    <n v="432.98"/>
    <n v="185.85"/>
    <n v="92224.74"/>
    <n v="92038.89"/>
  </r>
  <r>
    <s v="ORD0151"/>
    <x v="0"/>
    <s v="UK"/>
    <x v="3"/>
    <s v="Offline"/>
    <s v="High"/>
    <d v="2023-05-31T00:00:00"/>
    <n v="173"/>
    <n v="385.42"/>
    <n v="396.65"/>
    <n v="66677.66"/>
    <n v="66281.010000000009"/>
  </r>
  <r>
    <s v="ORD0152"/>
    <x v="0"/>
    <s v="Germany"/>
    <x v="3"/>
    <s v="Online"/>
    <s v="High"/>
    <d v="2023-06-01T00:00:00"/>
    <n v="260"/>
    <n v="60.99"/>
    <n v="388.36"/>
    <n v="15857.4"/>
    <n v="15469.039999999999"/>
  </r>
  <r>
    <s v="ORD0153"/>
    <x v="2"/>
    <s v="Australia"/>
    <x v="3"/>
    <s v="Offline"/>
    <s v="High"/>
    <d v="2023-06-02T00:00:00"/>
    <n v="236"/>
    <n v="398.78"/>
    <n v="377.04"/>
    <n v="94112.079999999987"/>
    <n v="93735.039999999994"/>
  </r>
  <r>
    <s v="ORD0154"/>
    <x v="0"/>
    <s v="USA"/>
    <x v="2"/>
    <s v="Online"/>
    <s v="Medium"/>
    <d v="2023-06-03T00:00:00"/>
    <n v="445"/>
    <n v="459.75"/>
    <n v="313.97000000000003"/>
    <n v="204588.75"/>
    <n v="204274.78"/>
  </r>
  <r>
    <s v="ORD0155"/>
    <x v="2"/>
    <s v="Germany"/>
    <x v="2"/>
    <s v="Offline"/>
    <s v="High"/>
    <d v="2023-06-04T00:00:00"/>
    <n v="390"/>
    <n v="302.3"/>
    <n v="143.22999999999999"/>
    <n v="117897"/>
    <n v="117753.77"/>
  </r>
  <r>
    <s v="ORD0156"/>
    <x v="3"/>
    <s v="USA"/>
    <x v="3"/>
    <s v="Online"/>
    <s v="Low"/>
    <d v="2023-06-05T00:00:00"/>
    <n v="469"/>
    <n v="470.73"/>
    <n v="166.03"/>
    <n v="220772.37"/>
    <n v="220606.34"/>
  </r>
  <r>
    <s v="ORD0157"/>
    <x v="0"/>
    <s v="UK"/>
    <x v="1"/>
    <s v="Online"/>
    <s v="High"/>
    <d v="2023-06-06T00:00:00"/>
    <n v="16"/>
    <m/>
    <n v="220.75"/>
    <n v="0"/>
    <n v="-220.75"/>
  </r>
  <r>
    <s v="ORD0158"/>
    <x v="3"/>
    <s v="India"/>
    <x v="4"/>
    <s v="Offline"/>
    <s v="Low"/>
    <d v="2023-06-07T00:00:00"/>
    <n v="38"/>
    <n v="335.15"/>
    <n v="332.55"/>
    <n v="12735.699999999999"/>
    <n v="12403.15"/>
  </r>
  <r>
    <s v="ORD0159"/>
    <x v="2"/>
    <s v="UK"/>
    <x v="5"/>
    <s v="Offline"/>
    <s v="Medium"/>
    <d v="2023-06-08T00:00:00"/>
    <n v="404"/>
    <n v="290.70999999999998"/>
    <n v="29.35"/>
    <n v="117446.84"/>
    <n v="117417.48999999999"/>
  </r>
  <r>
    <s v="ORD0160"/>
    <x v="1"/>
    <s v="Germany"/>
    <x v="1"/>
    <s v="Online"/>
    <s v="Low"/>
    <d v="2023-06-09T00:00:00"/>
    <n v="42"/>
    <n v="177.54"/>
    <n v="170.87"/>
    <n v="7456.6799999999994"/>
    <n v="7285.8099999999995"/>
  </r>
  <r>
    <s v="ORD0161"/>
    <x v="0"/>
    <s v="USA"/>
    <x v="3"/>
    <s v="Offline"/>
    <s v="Low"/>
    <d v="2023-06-10T00:00:00"/>
    <n v="143"/>
    <n v="83.85"/>
    <n v="34.880000000000003"/>
    <n v="11990.55"/>
    <n v="11955.67"/>
  </r>
  <r>
    <s v="ORD0162"/>
    <x v="2"/>
    <s v="USA"/>
    <x v="2"/>
    <s v="Online"/>
    <s v="High"/>
    <d v="2023-06-11T00:00:00"/>
    <n v="376"/>
    <n v="304.45"/>
    <n v="206.83"/>
    <n v="114473.2"/>
    <n v="114266.37"/>
  </r>
  <r>
    <s v="ORD0163"/>
    <x v="1"/>
    <s v="Australia"/>
    <x v="4"/>
    <s v="Online"/>
    <s v="High"/>
    <d v="2023-06-12T00:00:00"/>
    <n v="88"/>
    <n v="162.47"/>
    <n v="359.76"/>
    <n v="14297.36"/>
    <n v="13937.6"/>
  </r>
  <r>
    <s v="ORD0164"/>
    <x v="1"/>
    <s v="USA"/>
    <x v="0"/>
    <s v="Online"/>
    <s v="Low"/>
    <d v="2023-06-13T00:00:00"/>
    <n v="425"/>
    <n v="433.89"/>
    <n v="313.43"/>
    <n v="184403.25"/>
    <n v="184089.82"/>
  </r>
  <r>
    <s v="ORD0165"/>
    <x v="3"/>
    <s v="Australia"/>
    <x v="0"/>
    <s v="Offline"/>
    <s v="High"/>
    <d v="2023-06-14T00:00:00"/>
    <n v="444"/>
    <n v="496.7"/>
    <n v="92.68"/>
    <n v="220534.8"/>
    <n v="220442.12"/>
  </r>
  <r>
    <s v="ORD0166"/>
    <x v="2"/>
    <s v="India"/>
    <x v="1"/>
    <s v="Online"/>
    <s v="Medium"/>
    <d v="2023-06-15T00:00:00"/>
    <n v="468"/>
    <n v="377.45"/>
    <n v="390.44"/>
    <n v="176646.6"/>
    <n v="176256.16"/>
  </r>
  <r>
    <s v="ORD0167"/>
    <x v="1"/>
    <s v="Germany"/>
    <x v="3"/>
    <s v="Online"/>
    <s v="Medium"/>
    <d v="2023-06-16T00:00:00"/>
    <n v="67"/>
    <n v="49.79"/>
    <n v="267.61"/>
    <n v="3335.93"/>
    <n v="3068.3199999999997"/>
  </r>
  <r>
    <s v="ORD0168"/>
    <x v="0"/>
    <s v="Australia"/>
    <x v="4"/>
    <s v="Offline"/>
    <s v="High"/>
    <d v="2023-06-17T00:00:00"/>
    <n v="480"/>
    <n v="147.9"/>
    <n v="6.15"/>
    <n v="70992"/>
    <n v="70985.850000000006"/>
  </r>
  <r>
    <s v="ORD0169"/>
    <x v="0"/>
    <s v="India"/>
    <x v="3"/>
    <s v="Offline"/>
    <s v="Medium"/>
    <d v="2023-06-18T00:00:00"/>
    <n v="35"/>
    <n v="59.01"/>
    <n v="103.65"/>
    <n v="2065.35"/>
    <n v="1961.6999999999998"/>
  </r>
  <r>
    <s v="ORD0170"/>
    <x v="3"/>
    <s v="USA"/>
    <x v="4"/>
    <s v="Offline"/>
    <s v="High"/>
    <d v="2023-06-19T00:00:00"/>
    <n v="491"/>
    <n v="327"/>
    <n v="105.76"/>
    <n v="160557"/>
    <n v="160451.24"/>
  </r>
  <r>
    <s v="ORD0171"/>
    <x v="1"/>
    <s v="USA"/>
    <x v="1"/>
    <s v="Offline"/>
    <s v="Low"/>
    <d v="2023-06-20T00:00:00"/>
    <n v="439"/>
    <n v="383.77"/>
    <n v="29.56"/>
    <n v="168475.03"/>
    <n v="168445.47"/>
  </r>
  <r>
    <s v="ORD0172"/>
    <x v="2"/>
    <s v="India"/>
    <x v="1"/>
    <s v="Online"/>
    <s v="Low"/>
    <d v="2023-06-21T00:00:00"/>
    <n v="235"/>
    <n v="463.21"/>
    <n v="384.01"/>
    <n v="108854.34999999999"/>
    <n v="108470.34"/>
  </r>
  <r>
    <s v="ORD0173"/>
    <x v="0"/>
    <s v="USA"/>
    <x v="0"/>
    <s v="Online"/>
    <s v="Medium"/>
    <d v="2023-06-22T00:00:00"/>
    <n v="294"/>
    <n v="221.9"/>
    <n v="192.35"/>
    <n v="65238.6"/>
    <n v="65046.25"/>
  </r>
  <r>
    <s v="ORD0174"/>
    <x v="1"/>
    <s v="India"/>
    <x v="3"/>
    <s v="Online"/>
    <s v="High"/>
    <d v="2023-06-23T00:00:00"/>
    <n v="13"/>
    <n v="451.18"/>
    <n v="358.53"/>
    <n v="5865.34"/>
    <n v="5506.81"/>
  </r>
  <r>
    <s v="ORD0175"/>
    <x v="1"/>
    <s v="Australia"/>
    <x v="0"/>
    <s v="Online"/>
    <s v="High"/>
    <d v="2023-06-24T00:00:00"/>
    <n v="474"/>
    <n v="439.56"/>
    <n v="130.24"/>
    <n v="208351.44"/>
    <n v="208221.2"/>
  </r>
  <r>
    <s v="ORD0176"/>
    <x v="3"/>
    <s v="Australia"/>
    <x v="3"/>
    <s v="Offline"/>
    <s v="Medium"/>
    <d v="2023-06-25T00:00:00"/>
    <n v="108"/>
    <n v="162.01"/>
    <n v="51.84"/>
    <n v="17497.079999999998"/>
    <n v="17445.239999999998"/>
  </r>
  <r>
    <s v="ORD0177"/>
    <x v="0"/>
    <s v="India"/>
    <x v="0"/>
    <s v="Online"/>
    <s v="Low"/>
    <d v="2023-06-26T00:00:00"/>
    <n v="406"/>
    <n v="435.11"/>
    <n v="190.79"/>
    <n v="176654.66"/>
    <n v="176463.87"/>
  </r>
  <r>
    <s v="ORD0178"/>
    <x v="0"/>
    <s v="Australia"/>
    <x v="2"/>
    <s v="Online"/>
    <s v="Medium"/>
    <d v="2023-06-27T00:00:00"/>
    <n v="498"/>
    <n v="190.96"/>
    <n v="47.35"/>
    <n v="95098.08"/>
    <n v="95050.73"/>
  </r>
  <r>
    <s v="ORD0179"/>
    <x v="2"/>
    <s v="Australia"/>
    <x v="2"/>
    <s v="Offline"/>
    <s v="Low"/>
    <d v="2023-06-28T00:00:00"/>
    <n v="48"/>
    <n v="151.94999999999999"/>
    <n v="195.43"/>
    <n v="7293.5999999999995"/>
    <n v="7098.1699999999992"/>
  </r>
  <r>
    <s v="ORD0180"/>
    <x v="0"/>
    <s v="Australia"/>
    <x v="2"/>
    <s v="Online"/>
    <s v="High"/>
    <d v="2023-06-29T00:00:00"/>
    <n v="280"/>
    <n v="326.29000000000002"/>
    <n v="368.28"/>
    <n v="91361.200000000012"/>
    <n v="90992.920000000013"/>
  </r>
  <r>
    <s v="ORD0181"/>
    <x v="2"/>
    <s v="UK"/>
    <x v="2"/>
    <s v="Online"/>
    <s v="Low"/>
    <d v="2023-06-30T00:00:00"/>
    <n v="384"/>
    <n v="167.55"/>
    <n v="209.27"/>
    <n v="64339.200000000004"/>
    <n v="64129.930000000008"/>
  </r>
  <r>
    <s v="ORD0182"/>
    <x v="0"/>
    <s v="Germany"/>
    <x v="4"/>
    <s v="Online"/>
    <s v="Medium"/>
    <d v="2023-07-01T00:00:00"/>
    <n v="294"/>
    <n v="316.95"/>
    <n v="247.37"/>
    <n v="93183.3"/>
    <n v="92935.930000000008"/>
  </r>
  <r>
    <s v="ORD0183"/>
    <x v="3"/>
    <s v="USA"/>
    <x v="2"/>
    <s v="Online"/>
    <s v="High"/>
    <d v="2023-07-02T00:00:00"/>
    <n v="166"/>
    <n v="306.87"/>
    <n v="64.34"/>
    <n v="50940.42"/>
    <n v="50876.08"/>
  </r>
  <r>
    <s v="ORD0184"/>
    <x v="0"/>
    <s v="UK"/>
    <x v="1"/>
    <s v="Online"/>
    <s v="Medium"/>
    <d v="2023-07-03T00:00:00"/>
    <n v="84"/>
    <n v="283.89999999999998"/>
    <n v="19.41"/>
    <n v="23847.599999999999"/>
    <n v="23828.19"/>
  </r>
  <r>
    <s v="ORD0185"/>
    <x v="2"/>
    <s v="Australia"/>
    <x v="1"/>
    <s v="Online"/>
    <s v="Medium"/>
    <d v="2023-07-04T00:00:00"/>
    <n v="381"/>
    <n v="193.31"/>
    <n v="46.1"/>
    <n v="73651.11"/>
    <n v="73605.009999999995"/>
  </r>
  <r>
    <s v="ORD0186"/>
    <x v="2"/>
    <s v="India"/>
    <x v="4"/>
    <s v="Offline"/>
    <s v="Low"/>
    <d v="2023-07-05T00:00:00"/>
    <n v="297"/>
    <n v="276.51"/>
    <n v="240.22"/>
    <n v="82123.47"/>
    <n v="81883.25"/>
  </r>
  <r>
    <s v="ORD0187"/>
    <x v="3"/>
    <s v="Australia"/>
    <x v="2"/>
    <s v="Offline"/>
    <s v="Medium"/>
    <d v="2023-07-06T00:00:00"/>
    <n v="139"/>
    <n v="300.26"/>
    <n v="39.81"/>
    <n v="41736.14"/>
    <n v="41696.33"/>
  </r>
  <r>
    <s v="ORD0188"/>
    <x v="0"/>
    <s v="Germany"/>
    <x v="2"/>
    <s v="Online"/>
    <s v="Low"/>
    <d v="2023-07-07T00:00:00"/>
    <n v="184"/>
    <n v="275.12"/>
    <n v="151.65"/>
    <n v="50622.080000000002"/>
    <n v="50470.43"/>
  </r>
  <r>
    <s v="ORD0189"/>
    <x v="0"/>
    <s v="Australia"/>
    <x v="2"/>
    <s v="Online"/>
    <s v="High"/>
    <d v="2023-07-08T00:00:00"/>
    <n v="471"/>
    <n v="224.99"/>
    <n v="220.94"/>
    <n v="105970.29000000001"/>
    <n v="105749.35"/>
  </r>
  <r>
    <s v="ORD0190"/>
    <x v="3"/>
    <s v="India"/>
    <x v="0"/>
    <s v="Offline"/>
    <s v="Low"/>
    <d v="2023-07-09T00:00:00"/>
    <n v="93"/>
    <n v="12.26"/>
    <n v="156.68"/>
    <n v="1140.18"/>
    <n v="983.5"/>
  </r>
  <r>
    <s v="ORD0191"/>
    <x v="0"/>
    <s v="Germany"/>
    <x v="3"/>
    <s v="Online"/>
    <s v="High"/>
    <d v="2023-07-10T00:00:00"/>
    <n v="31"/>
    <n v="295.60000000000002"/>
    <n v="67.150000000000006"/>
    <n v="9163.6"/>
    <n v="9096.4500000000007"/>
  </r>
  <r>
    <s v="ORD0192"/>
    <x v="0"/>
    <s v="Australia"/>
    <x v="0"/>
    <s v="Online"/>
    <s v="Low"/>
    <d v="2023-07-11T00:00:00"/>
    <n v="468"/>
    <n v="88.38"/>
    <n v="110.97"/>
    <n v="41361.839999999997"/>
    <n v="41250.869999999995"/>
  </r>
  <r>
    <s v="ORD0193"/>
    <x v="2"/>
    <s v="Germany"/>
    <x v="3"/>
    <s v="Online"/>
    <s v="Medium"/>
    <d v="2023-07-12T00:00:00"/>
    <n v="36"/>
    <n v="323.08"/>
    <n v="371.47"/>
    <n v="11630.88"/>
    <n v="11259.41"/>
  </r>
  <r>
    <s v="ORD0194"/>
    <x v="0"/>
    <s v="USA"/>
    <x v="2"/>
    <s v="Offline"/>
    <s v="Low"/>
    <d v="2023-07-13T00:00:00"/>
    <n v="204"/>
    <n v="380.88"/>
    <n v="271.04000000000002"/>
    <n v="77699.520000000004"/>
    <n v="77428.48000000001"/>
  </r>
  <r>
    <s v="ORD0195"/>
    <x v="0"/>
    <s v="USA"/>
    <x v="2"/>
    <s v="Online"/>
    <s v="Low"/>
    <d v="2023-07-14T00:00:00"/>
    <n v="346"/>
    <n v="252.72"/>
    <n v="199.43"/>
    <n v="87441.12"/>
    <n v="87241.69"/>
  </r>
  <r>
    <s v="ORD0196"/>
    <x v="3"/>
    <s v="Australia"/>
    <x v="0"/>
    <s v="Offline"/>
    <s v="High"/>
    <d v="2023-07-15T00:00:00"/>
    <n v="391"/>
    <n v="273.47000000000003"/>
    <n v="7.06"/>
    <n v="106926.77"/>
    <n v="106919.71"/>
  </r>
  <r>
    <s v="ORD0197"/>
    <x v="3"/>
    <s v="Germany"/>
    <x v="0"/>
    <s v="Online"/>
    <s v="Medium"/>
    <d v="2023-07-16T00:00:00"/>
    <n v="245"/>
    <n v="475.98"/>
    <n v="396.98"/>
    <n v="116615.1"/>
    <n v="116218.12000000001"/>
  </r>
  <r>
    <s v="ORD0198"/>
    <x v="1"/>
    <s v="India"/>
    <x v="3"/>
    <s v="Offline"/>
    <s v="Low"/>
    <d v="2023-07-17T00:00:00"/>
    <n v="449"/>
    <n v="424.35"/>
    <n v="269.24"/>
    <n v="190533.15000000002"/>
    <n v="190263.91000000003"/>
  </r>
  <r>
    <s v="ORD0199"/>
    <x v="2"/>
    <s v="Australia"/>
    <x v="1"/>
    <s v="Offline"/>
    <s v="Medium"/>
    <d v="2023-07-18T00:00:00"/>
    <n v="101"/>
    <n v="457.55"/>
    <n v="128.13999999999999"/>
    <n v="46212.55"/>
    <n v="46084.41"/>
  </r>
  <r>
    <s v="ORD0200"/>
    <x v="0"/>
    <s v="USA"/>
    <x v="3"/>
    <s v="Online"/>
    <s v="Low"/>
    <d v="2023-07-19T00:00:00"/>
    <m/>
    <n v="407.81"/>
    <n v="351.95"/>
    <n v="0"/>
    <n v="-351.95"/>
  </r>
  <r>
    <s v="ORD0201"/>
    <x v="0"/>
    <s v="USA"/>
    <x v="0"/>
    <s v="Offline"/>
    <s v="Low"/>
    <d v="2023-07-20T00:00:00"/>
    <n v="30"/>
    <n v="58.91"/>
    <n v="104.86"/>
    <n v="1767.3"/>
    <n v="1662.44"/>
  </r>
  <r>
    <s v="ORD0202"/>
    <x v="1"/>
    <s v="Australia"/>
    <x v="0"/>
    <s v="Online"/>
    <s v="Medium"/>
    <d v="2023-07-21T00:00:00"/>
    <n v="312"/>
    <n v="78.75"/>
    <n v="218.52"/>
    <n v="24570"/>
    <n v="24351.48"/>
  </r>
  <r>
    <s v="ORD0203"/>
    <x v="0"/>
    <s v="Germany"/>
    <x v="4"/>
    <s v="Offline"/>
    <s v="Low"/>
    <d v="2023-07-22T00:00:00"/>
    <n v="473"/>
    <n v="265.68"/>
    <n v="255.16"/>
    <n v="125666.64"/>
    <n v="125411.48"/>
  </r>
  <r>
    <s v="ORD0204"/>
    <x v="2"/>
    <s v="USA"/>
    <x v="0"/>
    <s v="Online"/>
    <s v="Medium"/>
    <d v="2023-07-23T00:00:00"/>
    <n v="366"/>
    <n v="126.8"/>
    <n v="89.98"/>
    <n v="46408.799999999996"/>
    <n v="46318.819999999992"/>
  </r>
  <r>
    <s v="ORD0205"/>
    <x v="1"/>
    <s v="Germany"/>
    <x v="4"/>
    <s v="Online"/>
    <s v="Low"/>
    <d v="2023-07-24T00:00:00"/>
    <n v="452"/>
    <n v="240.96"/>
    <n v="391.4"/>
    <n v="108913.92"/>
    <n v="108522.52"/>
  </r>
  <r>
    <s v="ORD0206"/>
    <x v="2"/>
    <s v="USA"/>
    <x v="1"/>
    <s v="Offline"/>
    <s v="High"/>
    <d v="2023-07-25T00:00:00"/>
    <n v="93"/>
    <n v="200.21"/>
    <n v="299.77999999999997"/>
    <n v="18619.530000000002"/>
    <n v="18319.750000000004"/>
  </r>
  <r>
    <s v="ORD0207"/>
    <x v="1"/>
    <s v="USA"/>
    <x v="3"/>
    <s v="Online"/>
    <s v="Medium"/>
    <d v="2023-07-26T00:00:00"/>
    <n v="271"/>
    <n v="276.95999999999998"/>
    <n v="224.01"/>
    <n v="75056.159999999989"/>
    <n v="74832.149999999994"/>
  </r>
  <r>
    <s v="ORD0208"/>
    <x v="1"/>
    <s v="UK"/>
    <x v="3"/>
    <s v="Online"/>
    <s v="Low"/>
    <d v="2023-07-27T00:00:00"/>
    <n v="156"/>
    <n v="374.7"/>
    <n v="73.88"/>
    <n v="58453.2"/>
    <n v="58379.32"/>
  </r>
  <r>
    <s v="ORD0209"/>
    <x v="3"/>
    <s v="USA"/>
    <x v="4"/>
    <s v="Offline"/>
    <s v="Low"/>
    <d v="2023-07-28T00:00:00"/>
    <n v="450"/>
    <n v="359.17"/>
    <n v="23.44"/>
    <n v="161626.5"/>
    <n v="161603.06"/>
  </r>
  <r>
    <s v="ORD0210"/>
    <x v="2"/>
    <s v="India"/>
    <x v="3"/>
    <s v="Online"/>
    <s v="High"/>
    <d v="2023-07-29T00:00:00"/>
    <n v="462"/>
    <n v="263.01"/>
    <n v="129.38"/>
    <n v="121510.62"/>
    <n v="121381.23999999999"/>
  </r>
  <r>
    <s v="ORD0211"/>
    <x v="0"/>
    <s v="Australia"/>
    <x v="5"/>
    <s v="Online"/>
    <s v="Medium"/>
    <d v="2023-07-30T00:00:00"/>
    <n v="396"/>
    <n v="412.08"/>
    <n v="301.77"/>
    <n v="163183.67999999999"/>
    <n v="162881.91"/>
  </r>
  <r>
    <s v="ORD0212"/>
    <x v="0"/>
    <s v="Australia"/>
    <x v="2"/>
    <s v="Offline"/>
    <s v="Low"/>
    <d v="2023-07-31T00:00:00"/>
    <n v="266"/>
    <n v="218.28"/>
    <n v="109.19"/>
    <n v="58062.48"/>
    <n v="57953.29"/>
  </r>
  <r>
    <s v="ORD0213"/>
    <x v="2"/>
    <s v="Germany"/>
    <x v="4"/>
    <s v="Offline"/>
    <s v="High"/>
    <d v="2023-08-01T00:00:00"/>
    <n v="67"/>
    <n v="448.87"/>
    <n v="216.74"/>
    <n v="30074.29"/>
    <n v="29857.55"/>
  </r>
  <r>
    <s v="ORD0214"/>
    <x v="0"/>
    <s v="USA"/>
    <x v="3"/>
    <s v="Online"/>
    <s v="Low"/>
    <d v="2023-08-02T00:00:00"/>
    <n v="389"/>
    <n v="40.28"/>
    <n v="291.72000000000003"/>
    <n v="15668.92"/>
    <n v="15377.2"/>
  </r>
  <r>
    <s v="ORD0215"/>
    <x v="0"/>
    <s v="India"/>
    <x v="4"/>
    <s v="Online"/>
    <s v="Medium"/>
    <d v="2023-08-03T00:00:00"/>
    <n v="431"/>
    <n v="477.56"/>
    <n v="44.96"/>
    <n v="205828.36000000002"/>
    <n v="205783.40000000002"/>
  </r>
  <r>
    <s v="ORD0216"/>
    <x v="2"/>
    <s v="Germany"/>
    <x v="4"/>
    <s v="Offline"/>
    <s v="Low"/>
    <d v="2023-08-04T00:00:00"/>
    <n v="24"/>
    <n v="329.07"/>
    <n v="274.75"/>
    <n v="7897.68"/>
    <n v="7622.93"/>
  </r>
  <r>
    <s v="ORD0217"/>
    <x v="1"/>
    <s v="UK"/>
    <x v="2"/>
    <s v="Offline"/>
    <s v="Low"/>
    <d v="2023-08-05T00:00:00"/>
    <n v="171"/>
    <n v="193.14"/>
    <n v="38.56"/>
    <n v="33026.939999999995"/>
    <n v="32988.379999999997"/>
  </r>
  <r>
    <s v="ORD0218"/>
    <x v="2"/>
    <s v="Germany"/>
    <x v="0"/>
    <s v="Online"/>
    <s v="Low"/>
    <d v="2023-08-06T00:00:00"/>
    <n v="454"/>
    <n v="102.59"/>
    <n v="386.12"/>
    <n v="46575.86"/>
    <n v="46189.74"/>
  </r>
  <r>
    <s v="ORD0219"/>
    <x v="1"/>
    <s v="Germany"/>
    <x v="4"/>
    <s v="Offline"/>
    <s v="Low"/>
    <d v="2023-08-07T00:00:00"/>
    <n v="172"/>
    <n v="242.2"/>
    <n v="196.38"/>
    <n v="41658.400000000001"/>
    <n v="41462.020000000004"/>
  </r>
  <r>
    <s v="ORD0220"/>
    <x v="0"/>
    <s v="USA"/>
    <x v="3"/>
    <s v="Online"/>
    <s v="High"/>
    <d v="2023-08-08T00:00:00"/>
    <n v="329"/>
    <n v="101.31"/>
    <n v="61.97"/>
    <n v="33330.99"/>
    <n v="33269.019999999997"/>
  </r>
  <r>
    <s v="ORD0221"/>
    <x v="0"/>
    <s v="UK"/>
    <x v="1"/>
    <s v="Online"/>
    <s v="High"/>
    <d v="2023-08-09T00:00:00"/>
    <n v="290"/>
    <n v="87.33"/>
    <n v="138.27000000000001"/>
    <n v="25325.7"/>
    <n v="25187.43"/>
  </r>
  <r>
    <s v="ORD0222"/>
    <x v="2"/>
    <s v="Germany"/>
    <x v="4"/>
    <s v="Online"/>
    <s v="Medium"/>
    <d v="2023-08-10T00:00:00"/>
    <n v="289"/>
    <n v="310.58999999999997"/>
    <n v="166.54"/>
    <n v="89760.51"/>
    <n v="89593.97"/>
  </r>
  <r>
    <s v="ORD0223"/>
    <x v="3"/>
    <s v="India"/>
    <x v="4"/>
    <s v="Online"/>
    <s v="High"/>
    <d v="2023-08-11T00:00:00"/>
    <n v="21"/>
    <n v="263.93"/>
    <n v="303.76"/>
    <n v="5542.53"/>
    <n v="5238.7699999999995"/>
  </r>
  <r>
    <s v="ORD0224"/>
    <x v="1"/>
    <s v="India"/>
    <x v="2"/>
    <s v="Online"/>
    <s v="High"/>
    <d v="2023-08-12T00:00:00"/>
    <n v="283"/>
    <n v="336.7"/>
    <n v="297.88"/>
    <n v="95286.099999999991"/>
    <n v="94988.219999999987"/>
  </r>
  <r>
    <s v="ORD0225"/>
    <x v="3"/>
    <s v="Australia"/>
    <x v="0"/>
    <s v="Offline"/>
    <s v="Medium"/>
    <d v="2023-08-13T00:00:00"/>
    <n v="280"/>
    <n v="465.15"/>
    <n v="245.55"/>
    <n v="130242"/>
    <n v="129996.45"/>
  </r>
  <r>
    <s v="ORD0226"/>
    <x v="3"/>
    <s v="UK"/>
    <x v="1"/>
    <s v="Offline"/>
    <s v="High"/>
    <d v="2023-08-14T00:00:00"/>
    <n v="217"/>
    <n v="268.47000000000003"/>
    <n v="44.16"/>
    <n v="58257.990000000005"/>
    <n v="58213.83"/>
  </r>
  <r>
    <s v="ORD0227"/>
    <x v="2"/>
    <s v="UK"/>
    <x v="3"/>
    <s v="Offline"/>
    <s v="High"/>
    <d v="2023-08-15T00:00:00"/>
    <n v="36"/>
    <n v="292.56"/>
    <n v="62.32"/>
    <n v="10532.16"/>
    <n v="10469.84"/>
  </r>
  <r>
    <s v="ORD0228"/>
    <x v="3"/>
    <s v="Australia"/>
    <x v="1"/>
    <s v="Offline"/>
    <s v="Medium"/>
    <d v="2023-08-16T00:00:00"/>
    <m/>
    <n v="49.37"/>
    <n v="39.32"/>
    <n v="0"/>
    <n v="-39.32"/>
  </r>
  <r>
    <s v="ORD0229"/>
    <x v="2"/>
    <s v="Germany"/>
    <x v="3"/>
    <s v="Online"/>
    <s v="Medium"/>
    <d v="2023-08-17T00:00:00"/>
    <n v="69"/>
    <n v="360.23"/>
    <n v="231.71"/>
    <n v="24855.870000000003"/>
    <n v="24624.160000000003"/>
  </r>
  <r>
    <s v="ORD0230"/>
    <x v="2"/>
    <s v="UK"/>
    <x v="0"/>
    <s v="Online"/>
    <s v="Medium"/>
    <d v="2023-08-18T00:00:00"/>
    <n v="439"/>
    <n v="202.95"/>
    <n v="351.1"/>
    <n v="89095.049999999988"/>
    <n v="88743.949999999983"/>
  </r>
  <r>
    <s v="ORD0231"/>
    <x v="3"/>
    <s v="India"/>
    <x v="3"/>
    <s v="Online"/>
    <s v="Low"/>
    <d v="2023-08-19T00:00:00"/>
    <n v="482"/>
    <n v="488.48"/>
    <n v="174.65"/>
    <n v="235447.36000000002"/>
    <n v="235272.71000000002"/>
  </r>
  <r>
    <s v="ORD0232"/>
    <x v="1"/>
    <s v="India"/>
    <x v="2"/>
    <s v="Online"/>
    <s v="Low"/>
    <d v="2023-08-20T00:00:00"/>
    <n v="154"/>
    <n v="412.47"/>
    <n v="66.02"/>
    <n v="63520.380000000005"/>
    <n v="63454.360000000008"/>
  </r>
  <r>
    <s v="ORD0233"/>
    <x v="1"/>
    <s v="USA"/>
    <x v="2"/>
    <s v="Offline"/>
    <s v="Medium"/>
    <d v="2023-08-21T00:00:00"/>
    <n v="102"/>
    <n v="263.63"/>
    <n v="224.1"/>
    <n v="26890.26"/>
    <n v="26666.16"/>
  </r>
  <r>
    <s v="ORD0234"/>
    <x v="1"/>
    <s v="UK"/>
    <x v="2"/>
    <s v="Online"/>
    <s v="Medium"/>
    <d v="2023-08-22T00:00:00"/>
    <n v="318"/>
    <n v="66"/>
    <n v="325.08"/>
    <n v="20988"/>
    <n v="20662.919999999998"/>
  </r>
  <r>
    <s v="ORD0235"/>
    <x v="1"/>
    <s v="Germany"/>
    <x v="2"/>
    <s v="Online"/>
    <s v="Medium"/>
    <d v="2023-08-23T00:00:00"/>
    <n v="17"/>
    <n v="430.41"/>
    <n v="297.2"/>
    <n v="7316.97"/>
    <n v="7019.77"/>
  </r>
  <r>
    <s v="ORD0236"/>
    <x v="1"/>
    <s v="Australia"/>
    <x v="1"/>
    <s v="Offline"/>
    <s v="Low"/>
    <d v="2023-08-24T00:00:00"/>
    <n v="88"/>
    <n v="400.89"/>
    <n v="352.82"/>
    <n v="35278.32"/>
    <n v="34925.5"/>
  </r>
  <r>
    <s v="ORD0237"/>
    <x v="3"/>
    <s v="Australia"/>
    <x v="0"/>
    <s v="Offline"/>
    <s v="Low"/>
    <d v="2023-08-25T00:00:00"/>
    <n v="36"/>
    <n v="96.37"/>
    <n v="112.61"/>
    <n v="3469.32"/>
    <n v="3356.71"/>
  </r>
  <r>
    <s v="ORD0238"/>
    <x v="3"/>
    <s v="Germany"/>
    <x v="3"/>
    <s v="Offline"/>
    <s v="High"/>
    <d v="2023-08-26T00:00:00"/>
    <n v="183"/>
    <n v="151.16"/>
    <n v="79.19"/>
    <n v="27662.28"/>
    <n v="27583.09"/>
  </r>
  <r>
    <s v="ORD0239"/>
    <x v="0"/>
    <s v="USA"/>
    <x v="3"/>
    <s v="Offline"/>
    <s v="High"/>
    <d v="2023-08-27T00:00:00"/>
    <n v="59"/>
    <n v="397.74"/>
    <n v="352.17"/>
    <n v="23466.66"/>
    <n v="23114.49"/>
  </r>
  <r>
    <s v="ORD0240"/>
    <x v="1"/>
    <s v="Australia"/>
    <x v="2"/>
    <s v="Online"/>
    <s v="Medium"/>
    <d v="2023-08-28T00:00:00"/>
    <n v="208"/>
    <n v="96.69"/>
    <n v="263.70999999999998"/>
    <n v="20111.52"/>
    <n v="19847.810000000001"/>
  </r>
  <r>
    <s v="ORD0241"/>
    <x v="3"/>
    <s v="UK"/>
    <x v="2"/>
    <s v="Online"/>
    <s v="Low"/>
    <d v="2023-08-29T00:00:00"/>
    <n v="396"/>
    <n v="459.29"/>
    <n v="125.75"/>
    <n v="181878.84"/>
    <n v="181753.09"/>
  </r>
  <r>
    <s v="ORD0242"/>
    <x v="0"/>
    <s v="USA"/>
    <x v="4"/>
    <s v="Offline"/>
    <s v="Low"/>
    <d v="2023-08-30T00:00:00"/>
    <n v="358"/>
    <n v="215.14"/>
    <n v="297.45"/>
    <n v="77020.12"/>
    <n v="76722.67"/>
  </r>
  <r>
    <s v="ORD0243"/>
    <x v="1"/>
    <s v="UK"/>
    <x v="0"/>
    <s v="Online"/>
    <s v="Low"/>
    <d v="2023-08-31T00:00:00"/>
    <n v="457"/>
    <n v="48.08"/>
    <n v="326.42"/>
    <n v="21972.559999999998"/>
    <n v="21646.14"/>
  </r>
  <r>
    <s v="ORD0244"/>
    <x v="2"/>
    <s v="India"/>
    <x v="1"/>
    <s v="Online"/>
    <s v="Medium"/>
    <d v="2023-09-01T00:00:00"/>
    <n v="437"/>
    <n v="408.8"/>
    <n v="246.76"/>
    <n v="178645.6"/>
    <n v="178398.84"/>
  </r>
  <r>
    <s v="ORD0245"/>
    <x v="0"/>
    <s v="USA"/>
    <x v="3"/>
    <s v="Online"/>
    <s v="High"/>
    <d v="2023-09-02T00:00:00"/>
    <n v="190"/>
    <n v="189.89"/>
    <n v="275.77999999999997"/>
    <n v="36079.1"/>
    <n v="35803.32"/>
  </r>
  <r>
    <s v="ORD0246"/>
    <x v="3"/>
    <s v="Australia"/>
    <x v="4"/>
    <s v="Offline"/>
    <s v="Medium"/>
    <d v="2023-09-03T00:00:00"/>
    <n v="33"/>
    <n v="265.62"/>
    <n v="151.35"/>
    <n v="8765.4600000000009"/>
    <n v="8614.11"/>
  </r>
  <r>
    <s v="ORD0247"/>
    <x v="2"/>
    <s v="USA"/>
    <x v="4"/>
    <s v="Online"/>
    <s v="High"/>
    <d v="2023-09-04T00:00:00"/>
    <n v="325"/>
    <n v="60.59"/>
    <n v="216.4"/>
    <n v="19691.75"/>
    <n v="19475.349999999999"/>
  </r>
  <r>
    <s v="ORD0248"/>
    <x v="2"/>
    <s v="USA"/>
    <x v="3"/>
    <s v="Offline"/>
    <s v="High"/>
    <d v="2023-09-05T00:00:00"/>
    <n v="387"/>
    <n v="6.28"/>
    <n v="210.62"/>
    <n v="2430.36"/>
    <n v="2219.7400000000002"/>
  </r>
  <r>
    <s v="ORD0249"/>
    <x v="2"/>
    <s v="USA"/>
    <x v="1"/>
    <s v="Online"/>
    <s v="Medium"/>
    <d v="2023-09-06T00:00:00"/>
    <n v="396"/>
    <n v="320.8"/>
    <n v="339.52"/>
    <n v="127036.8"/>
    <n v="126697.28"/>
  </r>
  <r>
    <s v="ORD0250"/>
    <x v="0"/>
    <s v="USA"/>
    <x v="4"/>
    <s v="Online"/>
    <s v="High"/>
    <d v="2023-09-07T00:00:00"/>
    <n v="413"/>
    <n v="260.01"/>
    <n v="336.31"/>
    <n v="107384.12999999999"/>
    <n v="107047.81999999999"/>
  </r>
  <r>
    <s v="ORD0251"/>
    <x v="3"/>
    <s v="UK"/>
    <x v="4"/>
    <s v="Online"/>
    <s v="High"/>
    <d v="2023-09-08T00:00:00"/>
    <m/>
    <n v="298.8"/>
    <n v="333.41"/>
    <n v="0"/>
    <n v="-333.41"/>
  </r>
  <r>
    <s v="ORD0252"/>
    <x v="2"/>
    <s v="India"/>
    <x v="0"/>
    <s v="Offline"/>
    <s v="Low"/>
    <d v="2023-09-09T00:00:00"/>
    <n v="24"/>
    <n v="397.9"/>
    <n v="6.39"/>
    <n v="9549.5999999999985"/>
    <n v="9543.2099999999991"/>
  </r>
  <r>
    <s v="ORD0253"/>
    <x v="1"/>
    <s v="Germany"/>
    <x v="5"/>
    <s v="Online"/>
    <s v="High"/>
    <d v="2023-09-10T00:00:00"/>
    <n v="162"/>
    <n v="325.07"/>
    <n v="300.32"/>
    <n v="52661.34"/>
    <n v="52361.02"/>
  </r>
  <r>
    <s v="ORD0254"/>
    <x v="2"/>
    <s v="USA"/>
    <x v="4"/>
    <s v="Offline"/>
    <s v="Medium"/>
    <d v="2023-09-11T00:00:00"/>
    <n v="231"/>
    <n v="91.51"/>
    <n v="303.95"/>
    <n v="21138.81"/>
    <n v="20834.86"/>
  </r>
  <r>
    <s v="ORD0255"/>
    <x v="2"/>
    <s v="Australia"/>
    <x v="1"/>
    <s v="Offline"/>
    <s v="Medium"/>
    <d v="2023-09-12T00:00:00"/>
    <n v="215"/>
    <n v="183.58"/>
    <n v="271.99"/>
    <n v="39469.700000000004"/>
    <n v="39197.710000000006"/>
  </r>
  <r>
    <s v="ORD0256"/>
    <x v="0"/>
    <s v="USA"/>
    <x v="3"/>
    <s v="Offline"/>
    <s v="High"/>
    <d v="2023-09-13T00:00:00"/>
    <n v="464"/>
    <n v="453.42"/>
    <n v="302.99"/>
    <n v="210386.88"/>
    <n v="210083.89"/>
  </r>
  <r>
    <s v="ORD0257"/>
    <x v="0"/>
    <s v="Australia"/>
    <x v="2"/>
    <s v="Online"/>
    <s v="Low"/>
    <d v="2023-09-14T00:00:00"/>
    <n v="282"/>
    <m/>
    <n v="337.1"/>
    <n v="0"/>
    <n v="-337.1"/>
  </r>
  <r>
    <s v="ORD0258"/>
    <x v="3"/>
    <s v="UK"/>
    <x v="4"/>
    <s v="Online"/>
    <s v="Low"/>
    <d v="2023-09-15T00:00:00"/>
    <n v="391"/>
    <n v="280.54000000000002"/>
    <n v="189.19"/>
    <n v="109691.14000000001"/>
    <n v="109501.95000000001"/>
  </r>
  <r>
    <s v="ORD0259"/>
    <x v="1"/>
    <s v="Australia"/>
    <x v="0"/>
    <s v="Online"/>
    <s v="High"/>
    <d v="2023-09-16T00:00:00"/>
    <n v="245"/>
    <n v="131.54"/>
    <n v="201.82"/>
    <n v="32227.3"/>
    <n v="32025.48"/>
  </r>
  <r>
    <s v="ORD0260"/>
    <x v="0"/>
    <s v="Germany"/>
    <x v="3"/>
    <s v="Online"/>
    <s v="High"/>
    <d v="2023-09-17T00:00:00"/>
    <n v="349"/>
    <n v="154.52000000000001"/>
    <n v="51.64"/>
    <n v="53927.48"/>
    <n v="53875.840000000004"/>
  </r>
  <r>
    <s v="ORD0261"/>
    <x v="2"/>
    <s v="India"/>
    <x v="1"/>
    <s v="Offline"/>
    <s v="Medium"/>
    <d v="2023-09-18T00:00:00"/>
    <n v="237"/>
    <m/>
    <n v="155.38"/>
    <n v="0"/>
    <n v="-155.38"/>
  </r>
  <r>
    <s v="ORD0262"/>
    <x v="3"/>
    <s v="Australia"/>
    <x v="3"/>
    <s v="Offline"/>
    <s v="High"/>
    <d v="2023-09-19T00:00:00"/>
    <n v="18"/>
    <n v="426.33"/>
    <n v="258.06"/>
    <n v="7673.94"/>
    <n v="7415.8799999999992"/>
  </r>
  <r>
    <s v="ORD0263"/>
    <x v="2"/>
    <s v="Australia"/>
    <x v="4"/>
    <s v="Offline"/>
    <s v="Low"/>
    <d v="2023-09-20T00:00:00"/>
    <n v="175"/>
    <n v="337.36"/>
    <n v="312.60000000000002"/>
    <n v="59038"/>
    <n v="58725.4"/>
  </r>
  <r>
    <s v="ORD0264"/>
    <x v="2"/>
    <s v="India"/>
    <x v="5"/>
    <s v="Online"/>
    <s v="High"/>
    <d v="2023-09-21T00:00:00"/>
    <n v="441"/>
    <n v="405.72"/>
    <n v="88.45"/>
    <n v="178922.52000000002"/>
    <n v="178834.07"/>
  </r>
  <r>
    <s v="ORD0265"/>
    <x v="0"/>
    <s v="Germany"/>
    <x v="2"/>
    <s v="Offline"/>
    <s v="Medium"/>
    <d v="2023-09-22T00:00:00"/>
    <n v="453"/>
    <n v="384.49"/>
    <n v="56.85"/>
    <n v="174173.97"/>
    <n v="174117.12"/>
  </r>
  <r>
    <s v="ORD0266"/>
    <x v="3"/>
    <s v="USA"/>
    <x v="3"/>
    <s v="Online"/>
    <s v="Medium"/>
    <d v="2023-09-23T00:00:00"/>
    <n v="328"/>
    <n v="79.099999999999994"/>
    <n v="265.89"/>
    <n v="25944.799999999999"/>
    <n v="25678.91"/>
  </r>
  <r>
    <s v="ORD0267"/>
    <x v="1"/>
    <s v="Australia"/>
    <x v="4"/>
    <s v="Offline"/>
    <s v="Medium"/>
    <d v="2023-09-24T00:00:00"/>
    <n v="223"/>
    <n v="214.85"/>
    <n v="2.75"/>
    <n v="47911.549999999996"/>
    <n v="47908.799999999996"/>
  </r>
  <r>
    <s v="ORD0268"/>
    <x v="1"/>
    <s v="India"/>
    <x v="0"/>
    <s v="Online"/>
    <s v="Medium"/>
    <d v="2023-09-25T00:00:00"/>
    <n v="126"/>
    <n v="80.73"/>
    <n v="72.989999999999995"/>
    <n v="10171.980000000001"/>
    <n v="10098.990000000002"/>
  </r>
  <r>
    <s v="ORD0269"/>
    <x v="0"/>
    <s v="UK"/>
    <x v="1"/>
    <s v="Online"/>
    <s v="Medium"/>
    <d v="2023-09-26T00:00:00"/>
    <n v="395"/>
    <n v="121.44"/>
    <n v="13.57"/>
    <n v="47968.799999999996"/>
    <n v="47955.229999999996"/>
  </r>
  <r>
    <s v="ORD0270"/>
    <x v="0"/>
    <s v="India"/>
    <x v="3"/>
    <s v="Offline"/>
    <s v="High"/>
    <d v="2023-09-27T00:00:00"/>
    <n v="353"/>
    <n v="435.28"/>
    <n v="68.42"/>
    <n v="153653.84"/>
    <n v="153585.41999999998"/>
  </r>
  <r>
    <s v="ORD0271"/>
    <x v="3"/>
    <s v="UK"/>
    <x v="3"/>
    <s v="Offline"/>
    <s v="High"/>
    <d v="2023-09-28T00:00:00"/>
    <n v="81"/>
    <n v="239.08"/>
    <n v="74.17"/>
    <n v="19365.48"/>
    <n v="19291.310000000001"/>
  </r>
  <r>
    <s v="ORD0272"/>
    <x v="1"/>
    <s v="Germany"/>
    <x v="2"/>
    <s v="Offline"/>
    <s v="High"/>
    <d v="2023-09-29T00:00:00"/>
    <n v="404"/>
    <n v="270"/>
    <n v="156.29"/>
    <n v="109080"/>
    <n v="108923.71"/>
  </r>
  <r>
    <s v="ORD0273"/>
    <x v="1"/>
    <s v="USA"/>
    <x v="2"/>
    <s v="Offline"/>
    <s v="High"/>
    <d v="2023-09-30T00:00:00"/>
    <n v="73"/>
    <n v="93.33"/>
    <n v="162.13"/>
    <n v="6813.09"/>
    <n v="6650.96"/>
  </r>
  <r>
    <s v="ORD0274"/>
    <x v="1"/>
    <s v="India"/>
    <x v="0"/>
    <s v="Online"/>
    <s v="Medium"/>
    <d v="2023-10-01T00:00:00"/>
    <n v="214"/>
    <n v="159.57"/>
    <n v="349.96"/>
    <n v="34147.979999999996"/>
    <n v="33798.019999999997"/>
  </r>
  <r>
    <s v="ORD0275"/>
    <x v="2"/>
    <s v="Australia"/>
    <x v="0"/>
    <s v="Offline"/>
    <s v="Low"/>
    <d v="2023-10-02T00:00:00"/>
    <n v="218"/>
    <n v="118.97"/>
    <n v="205.02"/>
    <n v="25935.46"/>
    <n v="25730.44"/>
  </r>
  <r>
    <s v="ORD0276"/>
    <x v="1"/>
    <s v="Germany"/>
    <x v="4"/>
    <s v="Offline"/>
    <s v="High"/>
    <d v="2023-10-03T00:00:00"/>
    <n v="81"/>
    <n v="107.06"/>
    <n v="289.92"/>
    <n v="8671.86"/>
    <n v="8381.94"/>
  </r>
  <r>
    <s v="ORD0277"/>
    <x v="2"/>
    <s v="India"/>
    <x v="4"/>
    <s v="Offline"/>
    <s v="Low"/>
    <d v="2023-10-04T00:00:00"/>
    <n v="286"/>
    <n v="320.79000000000002"/>
    <n v="43.45"/>
    <n v="91745.94"/>
    <n v="91702.49"/>
  </r>
  <r>
    <s v="ORD0278"/>
    <x v="3"/>
    <s v="Australia"/>
    <x v="0"/>
    <s v="Online"/>
    <s v="High"/>
    <d v="2023-10-05T00:00:00"/>
    <n v="283"/>
    <n v="132.16"/>
    <n v="91.72"/>
    <n v="37401.279999999999"/>
    <n v="37309.56"/>
  </r>
  <r>
    <s v="ORD0279"/>
    <x v="2"/>
    <s v="India"/>
    <x v="0"/>
    <s v="Online"/>
    <s v="High"/>
    <d v="2023-10-06T00:00:00"/>
    <n v="487"/>
    <n v="317.85000000000002"/>
    <n v="281.77"/>
    <n v="154792.95000000001"/>
    <n v="154511.18000000002"/>
  </r>
  <r>
    <s v="ORD0280"/>
    <x v="3"/>
    <s v="UK"/>
    <x v="1"/>
    <s v="Offline"/>
    <s v="Low"/>
    <d v="2023-10-07T00:00:00"/>
    <n v="329"/>
    <n v="33.94"/>
    <n v="23.02"/>
    <n v="11166.259999999998"/>
    <n v="11143.239999999998"/>
  </r>
  <r>
    <s v="ORD0281"/>
    <x v="1"/>
    <s v="India"/>
    <x v="2"/>
    <s v="Online"/>
    <s v="Medium"/>
    <d v="2023-10-08T00:00:00"/>
    <n v="347"/>
    <n v="75.180000000000007"/>
    <n v="195.67"/>
    <n v="26087.460000000003"/>
    <n v="25891.790000000005"/>
  </r>
  <r>
    <s v="ORD0282"/>
    <x v="1"/>
    <s v="India"/>
    <x v="4"/>
    <s v="Offline"/>
    <s v="High"/>
    <d v="2023-10-09T00:00:00"/>
    <n v="375"/>
    <n v="140.9"/>
    <n v="240.55"/>
    <n v="52837.5"/>
    <n v="52596.95"/>
  </r>
  <r>
    <s v="ORD0283"/>
    <x v="3"/>
    <s v="India"/>
    <x v="2"/>
    <s v="Online"/>
    <s v="High"/>
    <d v="2023-10-10T00:00:00"/>
    <n v="104"/>
    <n v="300.54000000000002"/>
    <n v="241.65"/>
    <n v="31256.160000000003"/>
    <n v="31014.510000000002"/>
  </r>
  <r>
    <s v="ORD0284"/>
    <x v="0"/>
    <s v="Germany"/>
    <x v="5"/>
    <s v="Online"/>
    <s v="High"/>
    <d v="2023-10-11T00:00:00"/>
    <n v="175"/>
    <n v="339.54"/>
    <n v="11.13"/>
    <n v="59419.5"/>
    <n v="59408.37"/>
  </r>
  <r>
    <s v="ORD0285"/>
    <x v="3"/>
    <s v="India"/>
    <x v="0"/>
    <s v="Online"/>
    <s v="Low"/>
    <d v="2023-10-12T00:00:00"/>
    <n v="41"/>
    <n v="224.14"/>
    <n v="130.19999999999999"/>
    <n v="9189.74"/>
    <n v="9059.5399999999991"/>
  </r>
  <r>
    <s v="ORD0286"/>
    <x v="0"/>
    <s v="Australia"/>
    <x v="1"/>
    <s v="Online"/>
    <s v="Medium"/>
    <d v="2023-10-13T00:00:00"/>
    <n v="20"/>
    <n v="225.67"/>
    <n v="255.32"/>
    <n v="4513.3999999999996"/>
    <n v="4258.08"/>
  </r>
  <r>
    <s v="ORD0287"/>
    <x v="2"/>
    <s v="UK"/>
    <x v="3"/>
    <s v="Offline"/>
    <s v="Low"/>
    <d v="2023-10-14T00:00:00"/>
    <n v="310"/>
    <n v="363.64"/>
    <n v="61.3"/>
    <n v="112728.4"/>
    <n v="112667.09999999999"/>
  </r>
  <r>
    <s v="ORD0288"/>
    <x v="2"/>
    <s v="UK"/>
    <x v="1"/>
    <s v="Offline"/>
    <s v="Low"/>
    <d v="2023-10-15T00:00:00"/>
    <n v="226"/>
    <m/>
    <n v="278.77999999999997"/>
    <n v="0"/>
    <n v="-278.77999999999997"/>
  </r>
  <r>
    <s v="ORD0289"/>
    <x v="2"/>
    <s v="India"/>
    <x v="1"/>
    <s v="Offline"/>
    <s v="Medium"/>
    <d v="2023-10-16T00:00:00"/>
    <m/>
    <n v="173.84"/>
    <n v="298.88"/>
    <n v="0"/>
    <n v="-298.88"/>
  </r>
  <r>
    <s v="ORD0290"/>
    <x v="1"/>
    <s v="Germany"/>
    <x v="2"/>
    <s v="Online"/>
    <s v="Low"/>
    <d v="2023-10-17T00:00:00"/>
    <n v="111"/>
    <n v="410.26"/>
    <n v="392.82"/>
    <n v="45538.86"/>
    <n v="45146.04"/>
  </r>
  <r>
    <s v="ORD0291"/>
    <x v="2"/>
    <s v="Germany"/>
    <x v="1"/>
    <s v="Offline"/>
    <s v="Medium"/>
    <d v="2023-10-18T00:00:00"/>
    <n v="434"/>
    <n v="303.58999999999997"/>
    <n v="85.52"/>
    <n v="131758.06"/>
    <n v="131672.54"/>
  </r>
  <r>
    <s v="ORD0292"/>
    <x v="0"/>
    <s v="Australia"/>
    <x v="4"/>
    <s v="Offline"/>
    <s v="High"/>
    <d v="2023-10-19T00:00:00"/>
    <n v="401"/>
    <n v="171.93"/>
    <n v="330.4"/>
    <n v="68943.930000000008"/>
    <n v="68613.530000000013"/>
  </r>
  <r>
    <s v="ORD0293"/>
    <x v="2"/>
    <s v="India"/>
    <x v="2"/>
    <s v="Offline"/>
    <s v="Medium"/>
    <d v="2023-10-20T00:00:00"/>
    <n v="276"/>
    <n v="453.23"/>
    <n v="209.08"/>
    <n v="125091.48000000001"/>
    <n v="124882.40000000001"/>
  </r>
  <r>
    <s v="ORD0294"/>
    <x v="3"/>
    <s v="UK"/>
    <x v="4"/>
    <s v="Online"/>
    <s v="High"/>
    <d v="2023-10-21T00:00:00"/>
    <m/>
    <n v="387.45"/>
    <n v="150.63999999999999"/>
    <n v="0"/>
    <n v="-150.63999999999999"/>
  </r>
  <r>
    <s v="ORD0295"/>
    <x v="3"/>
    <s v="Germany"/>
    <x v="3"/>
    <s v="Online"/>
    <s v="Low"/>
    <d v="2023-10-22T00:00:00"/>
    <n v="188"/>
    <n v="136.12"/>
    <n v="50.71"/>
    <n v="25590.560000000001"/>
    <n v="25539.850000000002"/>
  </r>
  <r>
    <s v="ORD0296"/>
    <x v="1"/>
    <s v="India"/>
    <x v="2"/>
    <s v="Online"/>
    <s v="Low"/>
    <d v="2023-10-23T00:00:00"/>
    <n v="97"/>
    <n v="324.42"/>
    <n v="294.73"/>
    <n v="31468.74"/>
    <n v="31174.010000000002"/>
  </r>
  <r>
    <s v="ORD0297"/>
    <x v="3"/>
    <s v="Germany"/>
    <x v="3"/>
    <s v="Offline"/>
    <s v="High"/>
    <d v="2023-10-24T00:00:00"/>
    <n v="50"/>
    <n v="299.89999999999998"/>
    <n v="95.87"/>
    <n v="14994.999999999998"/>
    <n v="14899.129999999997"/>
  </r>
  <r>
    <s v="ORD0298"/>
    <x v="0"/>
    <s v="Germany"/>
    <x v="2"/>
    <s v="Offline"/>
    <s v="Low"/>
    <d v="2023-10-25T00:00:00"/>
    <n v="410"/>
    <n v="203.59"/>
    <n v="149.83000000000001"/>
    <n v="83471.899999999994"/>
    <n v="83322.069999999992"/>
  </r>
  <r>
    <s v="ORD0299"/>
    <x v="2"/>
    <s v="UK"/>
    <x v="0"/>
    <s v="Offline"/>
    <s v="Medium"/>
    <d v="2023-10-26T00:00:00"/>
    <n v="85"/>
    <n v="186.64"/>
    <n v="26.89"/>
    <n v="15864.4"/>
    <n v="15837.51"/>
  </r>
  <r>
    <s v="ORD0300"/>
    <x v="1"/>
    <s v="USA"/>
    <x v="1"/>
    <s v="Online"/>
    <s v="High"/>
    <d v="2023-10-27T00:00:00"/>
    <n v="386"/>
    <n v="175.06"/>
    <n v="320.94"/>
    <n v="67573.16"/>
    <n v="67252.22"/>
  </r>
  <r>
    <s v="ORD0301"/>
    <x v="2"/>
    <s v="Australia"/>
    <x v="0"/>
    <s v="Online"/>
    <s v="Low"/>
    <d v="2023-10-28T00:00:00"/>
    <n v="55"/>
    <n v="310.49"/>
    <n v="307.10000000000002"/>
    <n v="17076.95"/>
    <n v="16769.850000000002"/>
  </r>
  <r>
    <s v="ORD0302"/>
    <x v="2"/>
    <s v="Australia"/>
    <x v="3"/>
    <s v="Offline"/>
    <s v="High"/>
    <d v="2023-10-29T00:00:00"/>
    <n v="169"/>
    <n v="223.99"/>
    <n v="293.98"/>
    <n v="37854.310000000005"/>
    <n v="37560.33"/>
  </r>
  <r>
    <s v="ORD0303"/>
    <x v="0"/>
    <s v="UK"/>
    <x v="1"/>
    <s v="Online"/>
    <s v="Medium"/>
    <d v="2023-10-30T00:00:00"/>
    <n v="472"/>
    <n v="416.77"/>
    <n v="121.18"/>
    <n v="196715.44"/>
    <n v="196594.26"/>
  </r>
  <r>
    <s v="ORD0304"/>
    <x v="3"/>
    <s v="Germany"/>
    <x v="2"/>
    <s v="Online"/>
    <s v="Medium"/>
    <d v="2023-10-31T00:00:00"/>
    <n v="89"/>
    <n v="336.45"/>
    <n v="71.05"/>
    <n v="29944.05"/>
    <n v="29873"/>
  </r>
  <r>
    <s v="ORD0305"/>
    <x v="3"/>
    <s v="India"/>
    <x v="1"/>
    <s v="Online"/>
    <s v="Low"/>
    <d v="2023-11-01T00:00:00"/>
    <n v="319"/>
    <n v="39.619999999999997"/>
    <n v="255.75"/>
    <n v="12638.779999999999"/>
    <n v="12383.029999999999"/>
  </r>
  <r>
    <s v="ORD0306"/>
    <x v="2"/>
    <s v="Germany"/>
    <x v="5"/>
    <s v="Online"/>
    <s v="Medium"/>
    <d v="2023-11-02T00:00:00"/>
    <n v="95"/>
    <n v="321.88"/>
    <n v="199.47"/>
    <n v="30578.6"/>
    <n v="30379.129999999997"/>
  </r>
  <r>
    <s v="ORD0307"/>
    <x v="1"/>
    <s v="UK"/>
    <x v="5"/>
    <s v="Offline"/>
    <s v="High"/>
    <d v="2023-11-03T00:00:00"/>
    <n v="101"/>
    <n v="139.22"/>
    <n v="72.94"/>
    <n v="14061.22"/>
    <n v="13988.279999999999"/>
  </r>
  <r>
    <s v="ORD0308"/>
    <x v="3"/>
    <s v="Australia"/>
    <x v="5"/>
    <s v="Online"/>
    <s v="Medium"/>
    <d v="2023-11-04T00:00:00"/>
    <n v="157"/>
    <m/>
    <n v="274.99"/>
    <n v="0"/>
    <n v="-274.99"/>
  </r>
  <r>
    <s v="ORD0309"/>
    <x v="1"/>
    <s v="Germany"/>
    <x v="1"/>
    <s v="Online"/>
    <s v="High"/>
    <d v="2023-11-05T00:00:00"/>
    <n v="170"/>
    <n v="341.67"/>
    <n v="396.47"/>
    <n v="58083.9"/>
    <n v="57687.43"/>
  </r>
  <r>
    <s v="ORD0310"/>
    <x v="3"/>
    <s v="Australia"/>
    <x v="4"/>
    <s v="Online"/>
    <s v="High"/>
    <d v="2023-11-06T00:00:00"/>
    <n v="211"/>
    <n v="119.26"/>
    <n v="299.39"/>
    <n v="25163.86"/>
    <n v="24864.47"/>
  </r>
  <r>
    <s v="ORD0311"/>
    <x v="1"/>
    <s v="India"/>
    <x v="3"/>
    <s v="Online"/>
    <s v="Medium"/>
    <d v="2023-11-07T00:00:00"/>
    <n v="433"/>
    <n v="231.15"/>
    <n v="296.51"/>
    <n v="100087.95"/>
    <n v="99791.44"/>
  </r>
  <r>
    <s v="ORD0312"/>
    <x v="0"/>
    <s v="Australia"/>
    <x v="0"/>
    <s v="Offline"/>
    <s v="Low"/>
    <d v="2023-11-08T00:00:00"/>
    <n v="425"/>
    <n v="99.21"/>
    <n v="380.22"/>
    <n v="42164.25"/>
    <n v="41784.03"/>
  </r>
  <r>
    <s v="ORD0313"/>
    <x v="1"/>
    <s v="Australia"/>
    <x v="2"/>
    <s v="Offline"/>
    <s v="Medium"/>
    <d v="2023-11-09T00:00:00"/>
    <n v="251"/>
    <n v="30.91"/>
    <n v="82.77"/>
    <n v="7758.41"/>
    <n v="7675.6399999999994"/>
  </r>
  <r>
    <s v="ORD0314"/>
    <x v="0"/>
    <s v="USA"/>
    <x v="1"/>
    <s v="Online"/>
    <s v="High"/>
    <d v="2023-11-10T00:00:00"/>
    <m/>
    <n v="192.35"/>
    <n v="227.09"/>
    <n v="0"/>
    <n v="-227.09"/>
  </r>
  <r>
    <s v="ORD0315"/>
    <x v="0"/>
    <s v="USA"/>
    <x v="0"/>
    <s v="Online"/>
    <s v="High"/>
    <d v="2023-11-11T00:00:00"/>
    <n v="11"/>
    <n v="184.66"/>
    <n v="391.9"/>
    <n v="2031.26"/>
    <n v="1639.3600000000001"/>
  </r>
  <r>
    <s v="ORD0316"/>
    <x v="1"/>
    <s v="USA"/>
    <x v="2"/>
    <s v="Online"/>
    <s v="Medium"/>
    <d v="2023-11-12T00:00:00"/>
    <n v="234"/>
    <n v="497.76"/>
    <n v="67.790000000000006"/>
    <n v="116475.84"/>
    <n v="116408.05"/>
  </r>
  <r>
    <s v="ORD0317"/>
    <x v="0"/>
    <s v="Australia"/>
    <x v="2"/>
    <s v="Online"/>
    <s v="Low"/>
    <d v="2023-11-13T00:00:00"/>
    <m/>
    <n v="225.94"/>
    <n v="280.7"/>
    <n v="0"/>
    <n v="-280.7"/>
  </r>
  <r>
    <s v="ORD0318"/>
    <x v="2"/>
    <s v="UK"/>
    <x v="4"/>
    <s v="Online"/>
    <s v="Low"/>
    <d v="2023-11-14T00:00:00"/>
    <n v="242"/>
    <n v="170.12"/>
    <n v="235.15"/>
    <n v="41169.040000000001"/>
    <n v="40933.89"/>
  </r>
  <r>
    <s v="ORD0319"/>
    <x v="0"/>
    <s v="Australia"/>
    <x v="3"/>
    <s v="Online"/>
    <s v="High"/>
    <d v="2023-11-15T00:00:00"/>
    <n v="470"/>
    <n v="292.33999999999997"/>
    <n v="235.42"/>
    <n v="137399.79999999999"/>
    <n v="137164.37999999998"/>
  </r>
  <r>
    <s v="ORD0320"/>
    <x v="3"/>
    <s v="UK"/>
    <x v="3"/>
    <s v="Offline"/>
    <s v="High"/>
    <d v="2023-11-16T00:00:00"/>
    <n v="423"/>
    <n v="48.94"/>
    <n v="279.67"/>
    <n v="20701.62"/>
    <n v="20421.95"/>
  </r>
  <r>
    <s v="ORD0321"/>
    <x v="1"/>
    <s v="UK"/>
    <x v="0"/>
    <s v="Online"/>
    <s v="Low"/>
    <d v="2023-11-17T00:00:00"/>
    <n v="426"/>
    <n v="481.02"/>
    <n v="371.99"/>
    <n v="204914.52"/>
    <n v="204542.53"/>
  </r>
  <r>
    <s v="ORD0322"/>
    <x v="2"/>
    <s v="USA"/>
    <x v="3"/>
    <s v="Offline"/>
    <s v="Medium"/>
    <d v="2023-11-18T00:00:00"/>
    <n v="86"/>
    <n v="319.31"/>
    <n v="313.47000000000003"/>
    <n v="27460.66"/>
    <n v="27147.19"/>
  </r>
  <r>
    <s v="ORD0323"/>
    <x v="1"/>
    <s v="Germany"/>
    <x v="1"/>
    <s v="Offline"/>
    <s v="High"/>
    <d v="2023-11-19T00:00:00"/>
    <n v="125"/>
    <n v="378.64"/>
    <n v="24.34"/>
    <n v="47330"/>
    <n v="47305.66"/>
  </r>
  <r>
    <s v="ORD0324"/>
    <x v="3"/>
    <s v="India"/>
    <x v="5"/>
    <s v="Online"/>
    <s v="High"/>
    <d v="2023-11-20T00:00:00"/>
    <n v="163"/>
    <n v="89.39"/>
    <n v="341.39"/>
    <n v="14570.57"/>
    <n v="14229.18"/>
  </r>
  <r>
    <s v="ORD0325"/>
    <x v="3"/>
    <s v="USA"/>
    <x v="0"/>
    <s v="Offline"/>
    <s v="Low"/>
    <d v="2023-11-21T00:00:00"/>
    <n v="415"/>
    <n v="207.69"/>
    <n v="91.77"/>
    <n v="86191.35"/>
    <n v="86099.58"/>
  </r>
  <r>
    <s v="ORD0326"/>
    <x v="3"/>
    <s v="USA"/>
    <x v="3"/>
    <s v="Offline"/>
    <s v="Medium"/>
    <d v="2023-11-22T00:00:00"/>
    <n v="112"/>
    <n v="214.23"/>
    <n v="152.01"/>
    <n v="23993.759999999998"/>
    <n v="23841.75"/>
  </r>
  <r>
    <s v="ORD0327"/>
    <x v="0"/>
    <s v="Germany"/>
    <x v="1"/>
    <s v="Offline"/>
    <s v="Low"/>
    <d v="2023-11-23T00:00:00"/>
    <n v="203"/>
    <n v="411.79"/>
    <n v="185.77"/>
    <n v="83593.37000000001"/>
    <n v="83407.600000000006"/>
  </r>
  <r>
    <s v="ORD0328"/>
    <x v="0"/>
    <s v="India"/>
    <x v="4"/>
    <s v="Offline"/>
    <s v="Medium"/>
    <d v="2023-11-24T00:00:00"/>
    <m/>
    <n v="5.61"/>
    <n v="193.4"/>
    <n v="0"/>
    <n v="-193.4"/>
  </r>
  <r>
    <s v="ORD0329"/>
    <x v="1"/>
    <s v="Australia"/>
    <x v="0"/>
    <s v="Offline"/>
    <s v="Medium"/>
    <d v="2023-11-25T00:00:00"/>
    <n v="368"/>
    <n v="153.91999999999999"/>
    <n v="175.2"/>
    <n v="56642.559999999998"/>
    <n v="56467.360000000001"/>
  </r>
  <r>
    <s v="ORD0330"/>
    <x v="1"/>
    <s v="Australia"/>
    <x v="4"/>
    <s v="Offline"/>
    <s v="Medium"/>
    <d v="2023-11-26T00:00:00"/>
    <n v="99"/>
    <n v="490.71"/>
    <n v="375.07"/>
    <n v="48580.29"/>
    <n v="48205.22"/>
  </r>
  <r>
    <s v="ORD0331"/>
    <x v="2"/>
    <s v="USA"/>
    <x v="4"/>
    <s v="Online"/>
    <s v="High"/>
    <d v="2023-11-27T00:00:00"/>
    <n v="183"/>
    <n v="240.07"/>
    <n v="283"/>
    <n v="43932.81"/>
    <n v="43649.81"/>
  </r>
  <r>
    <s v="ORD0332"/>
    <x v="1"/>
    <s v="India"/>
    <x v="4"/>
    <s v="Offline"/>
    <s v="Low"/>
    <d v="2023-11-28T00:00:00"/>
    <n v="131"/>
    <n v="194.35"/>
    <n v="253.21"/>
    <n v="25459.85"/>
    <n v="25206.639999999999"/>
  </r>
  <r>
    <s v="ORD0333"/>
    <x v="1"/>
    <s v="USA"/>
    <x v="2"/>
    <s v="Offline"/>
    <s v="Low"/>
    <d v="2023-11-29T00:00:00"/>
    <n v="152"/>
    <n v="64.319999999999993"/>
    <n v="21.84"/>
    <n v="9776.64"/>
    <n v="9754.7999999999993"/>
  </r>
  <r>
    <s v="ORD0334"/>
    <x v="0"/>
    <s v="UK"/>
    <x v="2"/>
    <s v="Offline"/>
    <s v="Medium"/>
    <d v="2023-11-30T00:00:00"/>
    <n v="491"/>
    <n v="487.21"/>
    <n v="361.76"/>
    <n v="239220.11"/>
    <n v="238858.34999999998"/>
  </r>
  <r>
    <s v="ORD0335"/>
    <x v="3"/>
    <s v="USA"/>
    <x v="4"/>
    <s v="Online"/>
    <s v="High"/>
    <d v="2023-12-01T00:00:00"/>
    <n v="115"/>
    <n v="14.91"/>
    <n v="363.94"/>
    <n v="1714.65"/>
    <n v="1350.71"/>
  </r>
  <r>
    <s v="ORD0336"/>
    <x v="1"/>
    <s v="USA"/>
    <x v="0"/>
    <s v="Offline"/>
    <s v="High"/>
    <d v="2023-12-02T00:00:00"/>
    <n v="384"/>
    <n v="369.9"/>
    <n v="312.52"/>
    <n v="142041.59999999998"/>
    <n v="141729.07999999999"/>
  </r>
  <r>
    <s v="ORD0337"/>
    <x v="2"/>
    <s v="Australia"/>
    <x v="1"/>
    <s v="Online"/>
    <s v="Low"/>
    <d v="2023-12-03T00:00:00"/>
    <n v="437"/>
    <n v="385.46"/>
    <n v="4.8"/>
    <n v="168446.02"/>
    <n v="168441.22"/>
  </r>
  <r>
    <s v="ORD0338"/>
    <x v="0"/>
    <s v="Australia"/>
    <x v="1"/>
    <s v="Offline"/>
    <s v="High"/>
    <d v="2023-12-04T00:00:00"/>
    <n v="314"/>
    <n v="125.61"/>
    <n v="24.8"/>
    <n v="39441.54"/>
    <n v="39416.74"/>
  </r>
  <r>
    <s v="ORD0339"/>
    <x v="1"/>
    <s v="Australia"/>
    <x v="3"/>
    <s v="Online"/>
    <s v="High"/>
    <d v="2023-12-05T00:00:00"/>
    <n v="369"/>
    <n v="337.42"/>
    <n v="91.64"/>
    <n v="124507.98000000001"/>
    <n v="124416.34000000001"/>
  </r>
  <r>
    <s v="ORD0340"/>
    <x v="1"/>
    <s v="UK"/>
    <x v="0"/>
    <s v="Online"/>
    <s v="Medium"/>
    <d v="2023-12-06T00:00:00"/>
    <n v="468"/>
    <n v="51"/>
    <n v="54.28"/>
    <n v="23868"/>
    <n v="23813.72"/>
  </r>
  <r>
    <s v="ORD0341"/>
    <x v="0"/>
    <s v="Australia"/>
    <x v="2"/>
    <s v="Offline"/>
    <s v="High"/>
    <d v="2023-12-07T00:00:00"/>
    <n v="326"/>
    <n v="132.24"/>
    <n v="160.74"/>
    <n v="43110.240000000005"/>
    <n v="42949.500000000007"/>
  </r>
  <r>
    <s v="ORD0342"/>
    <x v="1"/>
    <s v="India"/>
    <x v="4"/>
    <s v="Offline"/>
    <s v="Medium"/>
    <d v="2023-12-08T00:00:00"/>
    <n v="460"/>
    <n v="395.01"/>
    <n v="369.2"/>
    <n v="181704.6"/>
    <n v="181335.4"/>
  </r>
  <r>
    <s v="ORD0343"/>
    <x v="0"/>
    <s v="Germany"/>
    <x v="3"/>
    <s v="Online"/>
    <s v="Low"/>
    <d v="2023-12-09T00:00:00"/>
    <n v="132"/>
    <n v="433.02"/>
    <n v="189.88"/>
    <n v="57158.64"/>
    <n v="56968.76"/>
  </r>
  <r>
    <s v="ORD0344"/>
    <x v="3"/>
    <s v="India"/>
    <x v="1"/>
    <s v="Offline"/>
    <s v="High"/>
    <d v="2023-12-10T00:00:00"/>
    <n v="399"/>
    <n v="306.2"/>
    <n v="7.33"/>
    <n v="122173.79999999999"/>
    <n v="122166.46999999999"/>
  </r>
  <r>
    <s v="ORD0345"/>
    <x v="0"/>
    <s v="India"/>
    <x v="2"/>
    <s v="Online"/>
    <s v="Low"/>
    <d v="2023-12-11T00:00:00"/>
    <n v="18"/>
    <n v="255.89"/>
    <n v="114.53"/>
    <n v="4606.0199999999995"/>
    <n v="4491.49"/>
  </r>
  <r>
    <s v="ORD0346"/>
    <x v="0"/>
    <s v="Australia"/>
    <x v="2"/>
    <s v="Online"/>
    <s v="Low"/>
    <d v="2023-12-12T00:00:00"/>
    <n v="271"/>
    <n v="83.86"/>
    <n v="19.75"/>
    <n v="22726.06"/>
    <n v="22706.31"/>
  </r>
  <r>
    <s v="ORD0347"/>
    <x v="2"/>
    <s v="Germany"/>
    <x v="4"/>
    <s v="Online"/>
    <s v="High"/>
    <d v="2023-12-13T00:00:00"/>
    <n v="82"/>
    <n v="36.24"/>
    <n v="16.440000000000001"/>
    <n v="2971.6800000000003"/>
    <n v="2955.2400000000002"/>
  </r>
  <r>
    <s v="ORD0348"/>
    <x v="1"/>
    <s v="Germany"/>
    <x v="1"/>
    <s v="Online"/>
    <s v="High"/>
    <d v="2023-12-14T00:00:00"/>
    <n v="368"/>
    <n v="63.24"/>
    <n v="111.74"/>
    <n v="23272.32"/>
    <n v="23160.579999999998"/>
  </r>
  <r>
    <s v="ORD0349"/>
    <x v="1"/>
    <s v="Germany"/>
    <x v="0"/>
    <s v="Online"/>
    <s v="Low"/>
    <d v="2023-12-15T00:00:00"/>
    <n v="232"/>
    <n v="117.54"/>
    <n v="111.69"/>
    <n v="27269.280000000002"/>
    <n v="27157.590000000004"/>
  </r>
  <r>
    <s v="ORD0350"/>
    <x v="0"/>
    <s v="UK"/>
    <x v="2"/>
    <s v="Offline"/>
    <s v="High"/>
    <d v="2023-12-16T00:00:00"/>
    <n v="425"/>
    <n v="174.13"/>
    <n v="315.27999999999997"/>
    <n v="74005.25"/>
    <n v="73689.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8B0D2-416E-4E8A-980C-0BDD180E0B2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2"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7">
        <item x="0"/>
        <item x="2"/>
        <item x="4"/>
        <item x="1"/>
        <item x="3"/>
        <item h="1"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>
      <selection activeCell="D13" sqref="A1:L351"/>
    </sheetView>
  </sheetViews>
  <sheetFormatPr defaultColWidth="14.453125" defaultRowHeight="15" customHeight="1"/>
  <cols>
    <col min="1" max="4" width="8.7265625" customWidth="1"/>
    <col min="5" max="6" width="13.08984375" customWidth="1"/>
    <col min="7" max="7" width="18.81640625" customWidth="1"/>
    <col min="8" max="8" width="10" customWidth="1"/>
    <col min="9" max="9" width="9.7265625" customWidth="1"/>
    <col min="10" max="10" width="9.08984375" customWidth="1"/>
    <col min="11" max="11" width="12.6328125" customWidth="1"/>
    <col min="12" max="26" width="8.7265625" customWidth="1"/>
  </cols>
  <sheetData>
    <row r="1" spans="1:12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406</v>
      </c>
      <c r="L1" s="7" t="s">
        <v>417</v>
      </c>
    </row>
    <row r="2" spans="1:12" ht="14.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  <c r="K2">
        <f>H2*I2</f>
        <v>35936.199999999997</v>
      </c>
      <c r="L2">
        <f>K2-J2</f>
        <v>35782.6</v>
      </c>
    </row>
    <row r="3" spans="1:12" ht="14.5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  <c r="K3">
        <f t="shared" ref="K3:K66" si="0">H3*I3</f>
        <v>159560.72</v>
      </c>
      <c r="L3">
        <f t="shared" ref="L3:L66" si="1">K3-J3</f>
        <v>159420.88</v>
      </c>
    </row>
    <row r="4" spans="1:12" ht="14.5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  <c r="K4">
        <f t="shared" si="0"/>
        <v>84835.26</v>
      </c>
      <c r="L4">
        <f t="shared" si="1"/>
        <v>84738.12</v>
      </c>
    </row>
    <row r="5" spans="1:12" ht="14.5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  <c r="K5">
        <f t="shared" si="0"/>
        <v>5661.5399999999991</v>
      </c>
      <c r="L5">
        <f t="shared" si="1"/>
        <v>5456.6699999999992</v>
      </c>
    </row>
    <row r="6" spans="1:12" ht="14.5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  <c r="K6">
        <f t="shared" si="0"/>
        <v>185396.88</v>
      </c>
      <c r="L6">
        <f t="shared" si="1"/>
        <v>185066.42</v>
      </c>
    </row>
    <row r="7" spans="1:12" ht="14.5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  <c r="K7">
        <f t="shared" si="0"/>
        <v>15095.43</v>
      </c>
      <c r="L7">
        <f t="shared" si="1"/>
        <v>14982.11</v>
      </c>
    </row>
    <row r="8" spans="1:12" ht="14.5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  <c r="K8">
        <f t="shared" si="0"/>
        <v>8322.52</v>
      </c>
      <c r="L8">
        <f t="shared" si="1"/>
        <v>7945.4500000000007</v>
      </c>
    </row>
    <row r="9" spans="1:12" ht="14.5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  <c r="K9">
        <f t="shared" si="0"/>
        <v>89669.7</v>
      </c>
      <c r="L9">
        <f t="shared" si="1"/>
        <v>89320.11</v>
      </c>
    </row>
    <row r="10" spans="1:12" ht="14.5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  <c r="K10">
        <f t="shared" si="0"/>
        <v>112610.96</v>
      </c>
      <c r="L10">
        <f t="shared" si="1"/>
        <v>112544.58</v>
      </c>
    </row>
    <row r="11" spans="1:12" ht="14.5">
      <c r="A11" s="2" t="s">
        <v>35</v>
      </c>
      <c r="B11" s="5" t="s">
        <v>22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  <c r="K11">
        <f t="shared" si="0"/>
        <v>135939</v>
      </c>
      <c r="L11">
        <f t="shared" si="1"/>
        <v>135624.06</v>
      </c>
    </row>
    <row r="12" spans="1:12" ht="14.5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  <c r="K12">
        <f t="shared" si="0"/>
        <v>92355</v>
      </c>
      <c r="L12">
        <f t="shared" si="1"/>
        <v>92124.31</v>
      </c>
    </row>
    <row r="13" spans="1:12" ht="14.5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  <c r="K13">
        <f t="shared" si="0"/>
        <v>116907.05</v>
      </c>
      <c r="L13">
        <f t="shared" si="1"/>
        <v>116679.55</v>
      </c>
    </row>
    <row r="14" spans="1:12" ht="14.5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  <c r="K14">
        <f t="shared" si="0"/>
        <v>3347.61</v>
      </c>
      <c r="L14">
        <f t="shared" si="1"/>
        <v>3189.9700000000003</v>
      </c>
    </row>
    <row r="15" spans="1:12" ht="14.5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  <c r="K15">
        <f t="shared" si="0"/>
        <v>40676.960000000006</v>
      </c>
      <c r="L15">
        <f t="shared" si="1"/>
        <v>40475.500000000007</v>
      </c>
    </row>
    <row r="16" spans="1:12" ht="14.5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  <c r="K16">
        <f t="shared" si="0"/>
        <v>10439.17</v>
      </c>
      <c r="L16">
        <f t="shared" si="1"/>
        <v>10279.09</v>
      </c>
    </row>
    <row r="17" spans="1:12" ht="14.5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  <c r="K17">
        <f t="shared" si="0"/>
        <v>122597.23000000001</v>
      </c>
      <c r="L17">
        <f t="shared" si="1"/>
        <v>122380.42000000001</v>
      </c>
    </row>
    <row r="18" spans="1:12" ht="14.5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  <c r="K18">
        <f t="shared" si="0"/>
        <v>77654.2</v>
      </c>
      <c r="L18">
        <f t="shared" si="1"/>
        <v>77402.28</v>
      </c>
    </row>
    <row r="19" spans="1:12" ht="14.5">
      <c r="A19" s="2" t="s">
        <v>44</v>
      </c>
      <c r="B19" s="5" t="s">
        <v>22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  <c r="K19">
        <f t="shared" si="0"/>
        <v>130106.2</v>
      </c>
      <c r="L19">
        <f t="shared" si="1"/>
        <v>129835.83</v>
      </c>
    </row>
    <row r="20" spans="1:12" ht="14.5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  <c r="K20">
        <f t="shared" si="0"/>
        <v>44814.400000000001</v>
      </c>
      <c r="L20">
        <f t="shared" si="1"/>
        <v>44600.47</v>
      </c>
    </row>
    <row r="21" spans="1:12" ht="15.75" customHeight="1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  <c r="K21">
        <f t="shared" si="0"/>
        <v>30669.210000000003</v>
      </c>
      <c r="L21">
        <f t="shared" si="1"/>
        <v>30380.080000000002</v>
      </c>
    </row>
    <row r="22" spans="1:12" ht="15.75" customHeight="1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  <c r="K22">
        <f t="shared" si="0"/>
        <v>68990.460000000006</v>
      </c>
      <c r="L22">
        <f t="shared" si="1"/>
        <v>68932.23000000001</v>
      </c>
    </row>
    <row r="23" spans="1:12" ht="15.75" customHeight="1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  <c r="K23">
        <f t="shared" si="0"/>
        <v>110073.62000000001</v>
      </c>
      <c r="L23">
        <f t="shared" si="1"/>
        <v>109987.25000000001</v>
      </c>
    </row>
    <row r="24" spans="1:12" ht="15.75" customHeight="1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  <c r="K24">
        <f t="shared" si="0"/>
        <v>17177.32</v>
      </c>
      <c r="L24">
        <f t="shared" si="1"/>
        <v>16849.46</v>
      </c>
    </row>
    <row r="25" spans="1:12" ht="15.75" customHeight="1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  <c r="K25">
        <f t="shared" si="0"/>
        <v>141882</v>
      </c>
      <c r="L25">
        <f t="shared" si="1"/>
        <v>141751.63</v>
      </c>
    </row>
    <row r="26" spans="1:12" ht="15.75" customHeight="1">
      <c r="A26" s="2" t="s">
        <v>53</v>
      </c>
      <c r="B26" s="2" t="s">
        <v>17</v>
      </c>
      <c r="C26" s="2" t="s">
        <v>18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  <c r="K26">
        <f t="shared" si="0"/>
        <v>40637.1</v>
      </c>
      <c r="L26">
        <f t="shared" si="1"/>
        <v>40625.99</v>
      </c>
    </row>
    <row r="27" spans="1:12" ht="15.75" customHeight="1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  <c r="K27">
        <f t="shared" si="0"/>
        <v>12506.699999999999</v>
      </c>
      <c r="L27">
        <f t="shared" si="1"/>
        <v>12443.49</v>
      </c>
    </row>
    <row r="28" spans="1:12" ht="15.75" customHeight="1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  <c r="K28">
        <f t="shared" si="0"/>
        <v>24913.79</v>
      </c>
      <c r="L28">
        <f t="shared" si="1"/>
        <v>24822.79</v>
      </c>
    </row>
    <row r="29" spans="1:12" ht="15.75" customHeight="1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J29" s="2">
        <v>383.01</v>
      </c>
      <c r="K29">
        <f t="shared" si="0"/>
        <v>0</v>
      </c>
      <c r="L29">
        <f t="shared" si="1"/>
        <v>-383.01</v>
      </c>
    </row>
    <row r="30" spans="1:12" ht="15.75" customHeight="1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  <c r="K30">
        <f t="shared" si="0"/>
        <v>154333.9</v>
      </c>
      <c r="L30">
        <f t="shared" si="1"/>
        <v>154103.82999999999</v>
      </c>
    </row>
    <row r="31" spans="1:12" ht="15.75" customHeight="1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  <c r="K31">
        <f t="shared" si="0"/>
        <v>15255</v>
      </c>
      <c r="L31">
        <f t="shared" si="1"/>
        <v>14881.77</v>
      </c>
    </row>
    <row r="32" spans="1:12" ht="15.75" customHeight="1">
      <c r="A32" s="2" t="s">
        <v>59</v>
      </c>
      <c r="B32" s="5" t="s">
        <v>17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  <c r="K32">
        <f t="shared" si="0"/>
        <v>33644.189999999995</v>
      </c>
      <c r="L32">
        <f t="shared" si="1"/>
        <v>33413.269999999997</v>
      </c>
    </row>
    <row r="33" spans="1:12" ht="15.75" customHeight="1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  <c r="K33">
        <f t="shared" si="0"/>
        <v>12209.33</v>
      </c>
      <c r="L33">
        <f t="shared" si="1"/>
        <v>12016.55</v>
      </c>
    </row>
    <row r="34" spans="1:12" ht="15.75" customHeight="1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  <c r="K34">
        <f t="shared" si="0"/>
        <v>14061.6</v>
      </c>
      <c r="L34">
        <f t="shared" si="1"/>
        <v>13934.74</v>
      </c>
    </row>
    <row r="35" spans="1:12" ht="15.75" customHeight="1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  <c r="K35">
        <f t="shared" si="0"/>
        <v>47674.130000000005</v>
      </c>
      <c r="L35">
        <f t="shared" si="1"/>
        <v>47430.790000000008</v>
      </c>
    </row>
    <row r="36" spans="1:12" ht="15.75" customHeight="1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  <c r="K36">
        <f t="shared" si="0"/>
        <v>37336.86</v>
      </c>
      <c r="L36">
        <f t="shared" si="1"/>
        <v>37279.46</v>
      </c>
    </row>
    <row r="37" spans="1:12" ht="15.75" customHeight="1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  <c r="K37">
        <f t="shared" si="0"/>
        <v>75935.38</v>
      </c>
      <c r="L37">
        <f t="shared" si="1"/>
        <v>75575.87000000001</v>
      </c>
    </row>
    <row r="38" spans="1:12" ht="15.75" customHeight="1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J38" s="2">
        <v>332.07</v>
      </c>
      <c r="K38">
        <f t="shared" si="0"/>
        <v>0</v>
      </c>
      <c r="L38">
        <f t="shared" si="1"/>
        <v>-332.07</v>
      </c>
    </row>
    <row r="39" spans="1:12" ht="15.75" customHeight="1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  <c r="K39">
        <f t="shared" si="0"/>
        <v>82098.899999999994</v>
      </c>
      <c r="L39">
        <f t="shared" si="1"/>
        <v>81970.51999999999</v>
      </c>
    </row>
    <row r="40" spans="1:12" ht="15.75" customHeight="1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I40" s="2">
        <v>91.23</v>
      </c>
      <c r="J40" s="2">
        <v>381.21</v>
      </c>
      <c r="K40">
        <f t="shared" si="0"/>
        <v>0</v>
      </c>
      <c r="L40">
        <f t="shared" si="1"/>
        <v>-381.21</v>
      </c>
    </row>
    <row r="41" spans="1:12" ht="15.75" customHeight="1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  <c r="K41">
        <f t="shared" si="0"/>
        <v>31238.35</v>
      </c>
      <c r="L41">
        <f t="shared" si="1"/>
        <v>30907.919999999998</v>
      </c>
    </row>
    <row r="42" spans="1:12" ht="15.75" customHeight="1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  <c r="K42">
        <f t="shared" si="0"/>
        <v>10332.630000000001</v>
      </c>
      <c r="L42">
        <f t="shared" si="1"/>
        <v>10065.44</v>
      </c>
    </row>
    <row r="43" spans="1:12" ht="15.75" customHeight="1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  <c r="K43">
        <f t="shared" si="0"/>
        <v>153872.07</v>
      </c>
      <c r="L43">
        <f t="shared" si="1"/>
        <v>153821.61000000002</v>
      </c>
    </row>
    <row r="44" spans="1:12" ht="15.75" customHeight="1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  <c r="K44">
        <f t="shared" si="0"/>
        <v>15495.76</v>
      </c>
      <c r="L44">
        <f t="shared" si="1"/>
        <v>15303.42</v>
      </c>
    </row>
    <row r="45" spans="1:12" ht="15.75" customHeight="1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  <c r="K45">
        <f t="shared" si="0"/>
        <v>131364</v>
      </c>
      <c r="L45">
        <f t="shared" si="1"/>
        <v>131160.57</v>
      </c>
    </row>
    <row r="46" spans="1:12" ht="15.75" customHeight="1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J46" s="2">
        <v>94.56</v>
      </c>
      <c r="K46">
        <f t="shared" si="0"/>
        <v>0</v>
      </c>
      <c r="L46">
        <f t="shared" si="1"/>
        <v>-94.56</v>
      </c>
    </row>
    <row r="47" spans="1:12" ht="15.75" customHeight="1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  <c r="K47">
        <f t="shared" si="0"/>
        <v>62705.4</v>
      </c>
      <c r="L47">
        <f t="shared" si="1"/>
        <v>62671.57</v>
      </c>
    </row>
    <row r="48" spans="1:12" ht="15.75" customHeight="1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  <c r="K48">
        <f t="shared" si="0"/>
        <v>81631.14</v>
      </c>
      <c r="L48">
        <f t="shared" si="1"/>
        <v>81320</v>
      </c>
    </row>
    <row r="49" spans="1:12" ht="15.75" customHeight="1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  <c r="K49">
        <f t="shared" si="0"/>
        <v>70305.53</v>
      </c>
      <c r="L49">
        <f t="shared" si="1"/>
        <v>70254.959999999992</v>
      </c>
    </row>
    <row r="50" spans="1:12" ht="15.75" customHeight="1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  <c r="K50">
        <f t="shared" si="0"/>
        <v>66620.25</v>
      </c>
      <c r="L50">
        <f t="shared" si="1"/>
        <v>66381.72</v>
      </c>
    </row>
    <row r="51" spans="1:12" ht="15.75" customHeight="1">
      <c r="A51" s="2" t="s">
        <v>78</v>
      </c>
      <c r="B51" s="5" t="s">
        <v>17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  <c r="K51">
        <f t="shared" si="0"/>
        <v>3049.8</v>
      </c>
      <c r="L51">
        <f t="shared" si="1"/>
        <v>2675.09</v>
      </c>
    </row>
    <row r="52" spans="1:12" ht="15.75" customHeight="1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  <c r="K52">
        <f t="shared" si="0"/>
        <v>69269.100000000006</v>
      </c>
      <c r="L52">
        <f t="shared" si="1"/>
        <v>68918.41</v>
      </c>
    </row>
    <row r="53" spans="1:12" ht="15.75" customHeight="1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  <c r="K53">
        <f t="shared" si="0"/>
        <v>53995.62</v>
      </c>
      <c r="L53">
        <f t="shared" si="1"/>
        <v>53883.07</v>
      </c>
    </row>
    <row r="54" spans="1:12" ht="15.75" customHeight="1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  <c r="K54">
        <f t="shared" si="0"/>
        <v>30387.87</v>
      </c>
      <c r="L54">
        <f t="shared" si="1"/>
        <v>30046.989999999998</v>
      </c>
    </row>
    <row r="55" spans="1:12" ht="15.75" customHeight="1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  <c r="K55">
        <f t="shared" si="0"/>
        <v>143898.62</v>
      </c>
      <c r="L55">
        <f t="shared" si="1"/>
        <v>143896.49</v>
      </c>
    </row>
    <row r="56" spans="1:12" ht="15.75" customHeight="1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  <c r="K56">
        <f t="shared" si="0"/>
        <v>22387.64</v>
      </c>
      <c r="L56">
        <f t="shared" si="1"/>
        <v>22378.6</v>
      </c>
    </row>
    <row r="57" spans="1:12" ht="15.75" customHeight="1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  <c r="K57">
        <f t="shared" si="0"/>
        <v>33735.480000000003</v>
      </c>
      <c r="L57">
        <f t="shared" si="1"/>
        <v>33493.660000000003</v>
      </c>
    </row>
    <row r="58" spans="1:12" ht="15.75" customHeight="1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  <c r="K58">
        <f t="shared" si="0"/>
        <v>45544.63</v>
      </c>
      <c r="L58">
        <f t="shared" si="1"/>
        <v>45397.439999999995</v>
      </c>
    </row>
    <row r="59" spans="1:12" ht="15.75" customHeight="1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  <c r="K59">
        <f t="shared" si="0"/>
        <v>32534.84</v>
      </c>
      <c r="L59">
        <f t="shared" si="1"/>
        <v>32379.03</v>
      </c>
    </row>
    <row r="60" spans="1:12" ht="15.75" customHeight="1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  <c r="K60">
        <f t="shared" si="0"/>
        <v>54210</v>
      </c>
      <c r="L60">
        <f t="shared" si="1"/>
        <v>53983.35</v>
      </c>
    </row>
    <row r="61" spans="1:12" ht="15.75" customHeight="1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  <c r="K61">
        <f t="shared" si="0"/>
        <v>87635.760000000009</v>
      </c>
      <c r="L61">
        <f t="shared" si="1"/>
        <v>87557.430000000008</v>
      </c>
    </row>
    <row r="62" spans="1:12" ht="15.75" customHeight="1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  <c r="K62">
        <f t="shared" si="0"/>
        <v>22616.28</v>
      </c>
      <c r="L62">
        <f t="shared" si="1"/>
        <v>22530</v>
      </c>
    </row>
    <row r="63" spans="1:12" ht="15.75" customHeight="1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  <c r="K63">
        <f t="shared" si="0"/>
        <v>43088.88</v>
      </c>
      <c r="L63">
        <f t="shared" si="1"/>
        <v>42894.009999999995</v>
      </c>
    </row>
    <row r="64" spans="1:12" ht="15.75" customHeight="1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  <c r="K64">
        <f t="shared" si="0"/>
        <v>73932.800000000003</v>
      </c>
      <c r="L64">
        <f t="shared" si="1"/>
        <v>73630.61</v>
      </c>
    </row>
    <row r="65" spans="1:12" ht="15.75" customHeight="1">
      <c r="A65" s="2" t="s">
        <v>92</v>
      </c>
      <c r="B65" s="5" t="s">
        <v>22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  <c r="K65">
        <f t="shared" si="0"/>
        <v>36807.769999999997</v>
      </c>
      <c r="L65">
        <f t="shared" si="1"/>
        <v>36559.21</v>
      </c>
    </row>
    <row r="66" spans="1:12" ht="15.75" customHeight="1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  <c r="K66">
        <f t="shared" si="0"/>
        <v>110565.8</v>
      </c>
      <c r="L66">
        <f t="shared" si="1"/>
        <v>110445.45</v>
      </c>
    </row>
    <row r="67" spans="1:12" ht="15.75" customHeight="1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  <c r="K67">
        <f t="shared" ref="K67:K130" si="2">H67*I67</f>
        <v>63622</v>
      </c>
      <c r="L67">
        <f t="shared" ref="L67:L130" si="3">K67-J67</f>
        <v>63448.73</v>
      </c>
    </row>
    <row r="68" spans="1:12" ht="15.75" customHeight="1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  <c r="K68">
        <f t="shared" si="2"/>
        <v>31087.84</v>
      </c>
      <c r="L68">
        <f t="shared" si="3"/>
        <v>31017.920000000002</v>
      </c>
    </row>
    <row r="69" spans="1:12" ht="15.75" customHeight="1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  <c r="K69">
        <f t="shared" si="2"/>
        <v>111516.94</v>
      </c>
      <c r="L69">
        <f t="shared" si="3"/>
        <v>111485.24</v>
      </c>
    </row>
    <row r="70" spans="1:12" ht="15.75" customHeight="1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  <c r="K70">
        <f t="shared" si="2"/>
        <v>41261.649999999994</v>
      </c>
      <c r="L70">
        <f t="shared" si="3"/>
        <v>40948.139999999992</v>
      </c>
    </row>
    <row r="71" spans="1:12" ht="15.75" customHeight="1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  <c r="K71">
        <f t="shared" si="2"/>
        <v>627.52</v>
      </c>
      <c r="L71">
        <f t="shared" si="3"/>
        <v>519.9</v>
      </c>
    </row>
    <row r="72" spans="1:12" ht="15.75" customHeight="1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  <c r="K72">
        <f t="shared" si="2"/>
        <v>31438.799999999999</v>
      </c>
      <c r="L72">
        <f t="shared" si="3"/>
        <v>31366.05</v>
      </c>
    </row>
    <row r="73" spans="1:12" ht="15.75" customHeight="1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  <c r="K73">
        <f t="shared" si="2"/>
        <v>12983.24</v>
      </c>
      <c r="L73">
        <f t="shared" si="3"/>
        <v>12705.98</v>
      </c>
    </row>
    <row r="74" spans="1:12" ht="15.75" customHeight="1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  <c r="K74">
        <f t="shared" si="2"/>
        <v>11096.460000000001</v>
      </c>
      <c r="L74">
        <f t="shared" si="3"/>
        <v>10848.480000000001</v>
      </c>
    </row>
    <row r="75" spans="1:12" ht="15.75" customHeight="1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  <c r="K75">
        <f t="shared" si="2"/>
        <v>96412.27</v>
      </c>
      <c r="L75">
        <f t="shared" si="3"/>
        <v>96158.260000000009</v>
      </c>
    </row>
    <row r="76" spans="1:12" ht="15.75" customHeight="1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  <c r="K76">
        <f t="shared" si="2"/>
        <v>75286.98</v>
      </c>
      <c r="L76">
        <f t="shared" si="3"/>
        <v>75193.87999999999</v>
      </c>
    </row>
    <row r="77" spans="1:12" ht="15.75" customHeight="1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  <c r="K77">
        <f t="shared" si="2"/>
        <v>13320</v>
      </c>
      <c r="L77">
        <f t="shared" si="3"/>
        <v>13225.41</v>
      </c>
    </row>
    <row r="78" spans="1:12" ht="15.75" customHeight="1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  <c r="K78">
        <f t="shared" si="2"/>
        <v>1668.8</v>
      </c>
      <c r="L78">
        <f t="shared" si="3"/>
        <v>1578.92</v>
      </c>
    </row>
    <row r="79" spans="1:12" ht="15.75" customHeight="1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  <c r="K79">
        <f t="shared" si="2"/>
        <v>142593</v>
      </c>
      <c r="L79">
        <f t="shared" si="3"/>
        <v>142521.85</v>
      </c>
    </row>
    <row r="80" spans="1:12" ht="15.75" customHeight="1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  <c r="K80">
        <f t="shared" si="2"/>
        <v>64282.53</v>
      </c>
      <c r="L80">
        <f t="shared" si="3"/>
        <v>64019.549999999996</v>
      </c>
    </row>
    <row r="81" spans="1:12" ht="15.75" customHeight="1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J81" s="2">
        <v>339.51</v>
      </c>
      <c r="K81">
        <f t="shared" si="2"/>
        <v>0</v>
      </c>
      <c r="L81">
        <f t="shared" si="3"/>
        <v>-339.51</v>
      </c>
    </row>
    <row r="82" spans="1:12" ht="15.75" customHeight="1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  <c r="K82">
        <f t="shared" si="2"/>
        <v>159848.4</v>
      </c>
      <c r="L82">
        <f t="shared" si="3"/>
        <v>159558.12</v>
      </c>
    </row>
    <row r="83" spans="1:12" ht="15.75" customHeight="1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  <c r="K83">
        <f t="shared" si="2"/>
        <v>4223.62</v>
      </c>
      <c r="L83">
        <f t="shared" si="3"/>
        <v>3906.37</v>
      </c>
    </row>
    <row r="84" spans="1:12" ht="15.75" customHeight="1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  <c r="K84">
        <f t="shared" si="2"/>
        <v>49475.42</v>
      </c>
      <c r="L84">
        <f t="shared" si="3"/>
        <v>49312.31</v>
      </c>
    </row>
    <row r="85" spans="1:12" ht="15.75" customHeight="1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  <c r="K85">
        <f t="shared" si="2"/>
        <v>14465.28</v>
      </c>
      <c r="L85">
        <f t="shared" si="3"/>
        <v>14202.960000000001</v>
      </c>
    </row>
    <row r="86" spans="1:12" ht="15.75" customHeight="1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  <c r="K86">
        <f t="shared" si="2"/>
        <v>85372.4</v>
      </c>
      <c r="L86">
        <f t="shared" si="3"/>
        <v>85229.409999999989</v>
      </c>
    </row>
    <row r="87" spans="1:12" ht="15.75" customHeight="1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  <c r="K87">
        <f t="shared" si="2"/>
        <v>11132.03</v>
      </c>
      <c r="L87">
        <f t="shared" si="3"/>
        <v>10920.880000000001</v>
      </c>
    </row>
    <row r="88" spans="1:12" ht="15.75" customHeight="1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  <c r="K88">
        <f t="shared" si="2"/>
        <v>44223.4</v>
      </c>
      <c r="L88">
        <f t="shared" si="3"/>
        <v>44029.71</v>
      </c>
    </row>
    <row r="89" spans="1:12" ht="15.75" customHeight="1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  <c r="K89">
        <f t="shared" si="2"/>
        <v>118131.48</v>
      </c>
      <c r="L89">
        <f t="shared" si="3"/>
        <v>118059.08</v>
      </c>
    </row>
    <row r="90" spans="1:12" ht="15.75" customHeight="1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  <c r="K90">
        <f t="shared" si="2"/>
        <v>48117</v>
      </c>
      <c r="L90">
        <f t="shared" si="3"/>
        <v>47960.94</v>
      </c>
    </row>
    <row r="91" spans="1:12" ht="15.75" customHeight="1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  <c r="K91">
        <f t="shared" si="2"/>
        <v>14515.939999999999</v>
      </c>
      <c r="L91">
        <f t="shared" si="3"/>
        <v>14130.339999999998</v>
      </c>
    </row>
    <row r="92" spans="1:12" ht="15.75" customHeight="1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  <c r="K92">
        <f t="shared" si="2"/>
        <v>110390.04</v>
      </c>
      <c r="L92">
        <f t="shared" si="3"/>
        <v>110289.11</v>
      </c>
    </row>
    <row r="93" spans="1:12" ht="15.75" customHeight="1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J93" s="2">
        <v>55.25</v>
      </c>
      <c r="K93">
        <f t="shared" si="2"/>
        <v>0</v>
      </c>
      <c r="L93">
        <f t="shared" si="3"/>
        <v>-55.25</v>
      </c>
    </row>
    <row r="94" spans="1:12" ht="15.75" customHeight="1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  <c r="K94">
        <f t="shared" si="2"/>
        <v>23453.600000000002</v>
      </c>
      <c r="L94">
        <f t="shared" si="3"/>
        <v>23285.000000000004</v>
      </c>
    </row>
    <row r="95" spans="1:12" ht="15.75" customHeight="1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  <c r="K95">
        <f t="shared" si="2"/>
        <v>104408.73</v>
      </c>
      <c r="L95">
        <f t="shared" si="3"/>
        <v>104092.18</v>
      </c>
    </row>
    <row r="96" spans="1:12" ht="15.75" customHeight="1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  <c r="K96">
        <f t="shared" si="2"/>
        <v>68968</v>
      </c>
      <c r="L96">
        <f t="shared" si="3"/>
        <v>68734.31</v>
      </c>
    </row>
    <row r="97" spans="1:12" ht="15.75" customHeight="1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  <c r="K97">
        <f t="shared" si="2"/>
        <v>10440.1</v>
      </c>
      <c r="L97">
        <f t="shared" si="3"/>
        <v>10167.07</v>
      </c>
    </row>
    <row r="98" spans="1:12" ht="15.75" customHeight="1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  <c r="K98">
        <f t="shared" si="2"/>
        <v>7150</v>
      </c>
      <c r="L98">
        <f t="shared" si="3"/>
        <v>7072.5</v>
      </c>
    </row>
    <row r="99" spans="1:12" ht="15.75" customHeight="1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  <c r="K99">
        <f t="shared" si="2"/>
        <v>29984.120000000003</v>
      </c>
      <c r="L99">
        <f t="shared" si="3"/>
        <v>29735.780000000002</v>
      </c>
    </row>
    <row r="100" spans="1:12" ht="15.75" customHeight="1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  <c r="K100">
        <f t="shared" si="2"/>
        <v>23519.16</v>
      </c>
      <c r="L100">
        <f t="shared" si="3"/>
        <v>23388.41</v>
      </c>
    </row>
    <row r="101" spans="1:12" ht="15.75" customHeight="1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  <c r="K101">
        <f t="shared" si="2"/>
        <v>73747.08</v>
      </c>
      <c r="L101">
        <f t="shared" si="3"/>
        <v>73413.03</v>
      </c>
    </row>
    <row r="102" spans="1:12" ht="15.75" customHeight="1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  <c r="K102">
        <f t="shared" si="2"/>
        <v>4721.08</v>
      </c>
      <c r="L102">
        <f t="shared" si="3"/>
        <v>4468.62</v>
      </c>
    </row>
    <row r="103" spans="1:12" ht="15.75" customHeight="1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  <c r="K103">
        <f t="shared" si="2"/>
        <v>99294.209999999992</v>
      </c>
      <c r="L103">
        <f t="shared" si="3"/>
        <v>99213.069999999992</v>
      </c>
    </row>
    <row r="104" spans="1:12" ht="15.75" customHeight="1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  <c r="K104">
        <f t="shared" si="2"/>
        <v>90941.680000000008</v>
      </c>
      <c r="L104">
        <f t="shared" si="3"/>
        <v>90913.96</v>
      </c>
    </row>
    <row r="105" spans="1:12" ht="15.75" customHeight="1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  <c r="K105">
        <f t="shared" si="2"/>
        <v>128563.71</v>
      </c>
      <c r="L105">
        <f t="shared" si="3"/>
        <v>128544.74</v>
      </c>
    </row>
    <row r="106" spans="1:12" ht="15.75" customHeight="1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  <c r="K106">
        <f t="shared" si="2"/>
        <v>44512.149999999994</v>
      </c>
      <c r="L106">
        <f t="shared" si="3"/>
        <v>44362.329999999994</v>
      </c>
    </row>
    <row r="107" spans="1:12" ht="15.75" customHeight="1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  <c r="K107">
        <f t="shared" si="2"/>
        <v>197785.03</v>
      </c>
      <c r="L107">
        <f t="shared" si="3"/>
        <v>197677.22</v>
      </c>
    </row>
    <row r="108" spans="1:12" ht="15.75" customHeight="1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  <c r="K108">
        <f t="shared" si="2"/>
        <v>99291.839999999997</v>
      </c>
      <c r="L108">
        <f t="shared" si="3"/>
        <v>99032.7</v>
      </c>
    </row>
    <row r="109" spans="1:12" ht="15.75" customHeight="1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  <c r="K109">
        <f t="shared" si="2"/>
        <v>101821.5</v>
      </c>
      <c r="L109">
        <f t="shared" si="3"/>
        <v>101620.77</v>
      </c>
    </row>
    <row r="110" spans="1:12" ht="15.75" customHeight="1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  <c r="K110">
        <f t="shared" si="2"/>
        <v>3770.2400000000002</v>
      </c>
      <c r="L110">
        <f t="shared" si="3"/>
        <v>3662.36</v>
      </c>
    </row>
    <row r="111" spans="1:12" ht="15.75" customHeight="1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  <c r="K111">
        <f t="shared" si="2"/>
        <v>165292.35</v>
      </c>
      <c r="L111">
        <f t="shared" si="3"/>
        <v>165230.95000000001</v>
      </c>
    </row>
    <row r="112" spans="1:12" ht="15.75" customHeight="1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  <c r="K112">
        <f t="shared" si="2"/>
        <v>31354.120000000003</v>
      </c>
      <c r="L112">
        <f t="shared" si="3"/>
        <v>31301.49</v>
      </c>
    </row>
    <row r="113" spans="1:12" ht="15.75" customHeight="1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  <c r="K113">
        <f t="shared" si="2"/>
        <v>50510.43</v>
      </c>
      <c r="L113">
        <f t="shared" si="3"/>
        <v>50164.3</v>
      </c>
    </row>
    <row r="114" spans="1:12" ht="15.75" customHeight="1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  <c r="K114">
        <f t="shared" si="2"/>
        <v>14193.76</v>
      </c>
      <c r="L114">
        <f t="shared" si="3"/>
        <v>14094.86</v>
      </c>
    </row>
    <row r="115" spans="1:12" ht="15.75" customHeight="1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  <c r="K115">
        <f t="shared" si="2"/>
        <v>26709.4</v>
      </c>
      <c r="L115">
        <f t="shared" si="3"/>
        <v>26448.02</v>
      </c>
    </row>
    <row r="116" spans="1:12" ht="15.75" customHeight="1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  <c r="K116">
        <f t="shared" si="2"/>
        <v>28127.66</v>
      </c>
      <c r="L116">
        <f t="shared" si="3"/>
        <v>27803.01</v>
      </c>
    </row>
    <row r="117" spans="1:12" ht="15.75" customHeight="1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  <c r="K117">
        <f t="shared" si="2"/>
        <v>21927.63</v>
      </c>
      <c r="L117">
        <f t="shared" si="3"/>
        <v>21681.23</v>
      </c>
    </row>
    <row r="118" spans="1:12" ht="15.75" customHeight="1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  <c r="K118">
        <f t="shared" si="2"/>
        <v>23980.440000000002</v>
      </c>
      <c r="L118">
        <f t="shared" si="3"/>
        <v>23636.33</v>
      </c>
    </row>
    <row r="119" spans="1:12" ht="15.75" customHeight="1">
      <c r="A119" s="2" t="s">
        <v>146</v>
      </c>
      <c r="B119" s="5" t="s">
        <v>17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  <c r="K119">
        <f t="shared" si="2"/>
        <v>18413.920000000002</v>
      </c>
      <c r="L119">
        <f t="shared" si="3"/>
        <v>18255.750000000004</v>
      </c>
    </row>
    <row r="120" spans="1:12" ht="15.75" customHeight="1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  <c r="K120">
        <f t="shared" si="2"/>
        <v>123946.61000000002</v>
      </c>
      <c r="L120">
        <f t="shared" si="3"/>
        <v>123564.03000000001</v>
      </c>
    </row>
    <row r="121" spans="1:12" ht="15.75" customHeight="1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  <c r="K121">
        <f t="shared" si="2"/>
        <v>23850.54</v>
      </c>
      <c r="L121">
        <f t="shared" si="3"/>
        <v>23795.55</v>
      </c>
    </row>
    <row r="122" spans="1:12" ht="15.75" customHeight="1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  <c r="K122">
        <f t="shared" si="2"/>
        <v>69384.800000000003</v>
      </c>
      <c r="L122">
        <f t="shared" si="3"/>
        <v>69342.14</v>
      </c>
    </row>
    <row r="123" spans="1:12" ht="15.75" customHeight="1">
      <c r="A123" s="2" t="s">
        <v>150</v>
      </c>
      <c r="B123" s="5" t="s">
        <v>22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  <c r="K123">
        <f t="shared" si="2"/>
        <v>56029.05</v>
      </c>
      <c r="L123">
        <f t="shared" si="3"/>
        <v>55764.89</v>
      </c>
    </row>
    <row r="124" spans="1:12" ht="15.75" customHeight="1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  <c r="K124">
        <f t="shared" si="2"/>
        <v>15849.300000000001</v>
      </c>
      <c r="L124">
        <f t="shared" si="3"/>
        <v>15472.050000000001</v>
      </c>
    </row>
    <row r="125" spans="1:12" ht="15.75" customHeight="1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  <c r="K125">
        <f t="shared" si="2"/>
        <v>6609.5999999999995</v>
      </c>
      <c r="L125">
        <f t="shared" si="3"/>
        <v>6285.66</v>
      </c>
    </row>
    <row r="126" spans="1:12" ht="15.75" customHeight="1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  <c r="K126">
        <f t="shared" si="2"/>
        <v>47340.649999999994</v>
      </c>
      <c r="L126">
        <f t="shared" si="3"/>
        <v>47308.239999999991</v>
      </c>
    </row>
    <row r="127" spans="1:12" ht="15.75" customHeight="1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  <c r="K127">
        <f t="shared" si="2"/>
        <v>99769.4</v>
      </c>
      <c r="L127">
        <f t="shared" si="3"/>
        <v>99656.209999999992</v>
      </c>
    </row>
    <row r="128" spans="1:12" ht="15.75" customHeight="1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  <c r="K128">
        <f t="shared" si="2"/>
        <v>120662.08000000002</v>
      </c>
      <c r="L128">
        <f t="shared" si="3"/>
        <v>120289.81000000001</v>
      </c>
    </row>
    <row r="129" spans="1:12" ht="15.75" customHeight="1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  <c r="K129">
        <f t="shared" si="2"/>
        <v>47233.24</v>
      </c>
      <c r="L129">
        <f t="shared" si="3"/>
        <v>47130.52</v>
      </c>
    </row>
    <row r="130" spans="1:12" ht="15.75" customHeight="1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  <c r="K130">
        <f t="shared" si="2"/>
        <v>129787.18</v>
      </c>
      <c r="L130">
        <f t="shared" si="3"/>
        <v>129474.26999999999</v>
      </c>
    </row>
    <row r="131" spans="1:12" ht="15.75" customHeight="1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  <c r="K131">
        <f t="shared" ref="K131:K194" si="4">H131*I131</f>
        <v>43827.11</v>
      </c>
      <c r="L131">
        <f t="shared" ref="L131:L194" si="5">K131-J131</f>
        <v>43496.71</v>
      </c>
    </row>
    <row r="132" spans="1:12" ht="15.75" customHeight="1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I132" s="2">
        <v>268.45999999999998</v>
      </c>
      <c r="J132" s="2">
        <v>199.19</v>
      </c>
      <c r="K132">
        <f t="shared" si="4"/>
        <v>0</v>
      </c>
      <c r="L132">
        <f t="shared" si="5"/>
        <v>-199.19</v>
      </c>
    </row>
    <row r="133" spans="1:12" ht="15.75" customHeight="1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  <c r="K133">
        <f t="shared" si="4"/>
        <v>15330.72</v>
      </c>
      <c r="L133">
        <f t="shared" si="5"/>
        <v>15174.949999999999</v>
      </c>
    </row>
    <row r="134" spans="1:12" ht="15.75" customHeight="1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  <c r="K134">
        <f t="shared" si="4"/>
        <v>14208.689999999999</v>
      </c>
      <c r="L134">
        <f t="shared" si="5"/>
        <v>14027.539999999999</v>
      </c>
    </row>
    <row r="135" spans="1:12" ht="15.75" customHeight="1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  <c r="K135">
        <f t="shared" si="4"/>
        <v>1977.3</v>
      </c>
      <c r="L135">
        <f t="shared" si="5"/>
        <v>1884.97</v>
      </c>
    </row>
    <row r="136" spans="1:12" ht="15.75" customHeight="1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  <c r="K136">
        <f t="shared" si="4"/>
        <v>9874.41</v>
      </c>
      <c r="L136">
        <f t="shared" si="5"/>
        <v>9518.43</v>
      </c>
    </row>
    <row r="137" spans="1:12" ht="15.75" customHeight="1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  <c r="K137">
        <f t="shared" si="4"/>
        <v>152628.69999999998</v>
      </c>
      <c r="L137">
        <f t="shared" si="5"/>
        <v>152447.34999999998</v>
      </c>
    </row>
    <row r="138" spans="1:12" ht="15.75" customHeight="1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  <c r="K138">
        <f t="shared" si="4"/>
        <v>35005.799999999996</v>
      </c>
      <c r="L138">
        <f t="shared" si="5"/>
        <v>34652.579999999994</v>
      </c>
    </row>
    <row r="139" spans="1:12" ht="15.75" customHeight="1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  <c r="K139">
        <f t="shared" si="4"/>
        <v>39586.69</v>
      </c>
      <c r="L139">
        <f t="shared" si="5"/>
        <v>39542.620000000003</v>
      </c>
    </row>
    <row r="140" spans="1:12" ht="15.75" customHeight="1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  <c r="K140">
        <f t="shared" si="4"/>
        <v>140469.07999999999</v>
      </c>
      <c r="L140">
        <f t="shared" si="5"/>
        <v>140073.75</v>
      </c>
    </row>
    <row r="141" spans="1:12" ht="15.75" customHeight="1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  <c r="K141">
        <f t="shared" si="4"/>
        <v>16624.599999999999</v>
      </c>
      <c r="L141">
        <f t="shared" si="5"/>
        <v>16446.18</v>
      </c>
    </row>
    <row r="142" spans="1:12" ht="15.75" customHeight="1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  <c r="K142">
        <f t="shared" si="4"/>
        <v>3754.41</v>
      </c>
      <c r="L142">
        <f t="shared" si="5"/>
        <v>3733.37</v>
      </c>
    </row>
    <row r="143" spans="1:12" ht="15.75" customHeight="1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  <c r="K143">
        <f t="shared" si="4"/>
        <v>232738.38</v>
      </c>
      <c r="L143">
        <f t="shared" si="5"/>
        <v>232721.25</v>
      </c>
    </row>
    <row r="144" spans="1:12" ht="15.75" customHeight="1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  <c r="K144">
        <f t="shared" si="4"/>
        <v>16948.02</v>
      </c>
      <c r="L144">
        <f t="shared" si="5"/>
        <v>16649.03</v>
      </c>
    </row>
    <row r="145" spans="1:12" ht="15.75" customHeight="1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  <c r="K145">
        <f t="shared" si="4"/>
        <v>72819.69</v>
      </c>
      <c r="L145">
        <f t="shared" si="5"/>
        <v>72555.39</v>
      </c>
    </row>
    <row r="146" spans="1:12" ht="15.75" customHeight="1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  <c r="K146">
        <f t="shared" si="4"/>
        <v>154167.30000000002</v>
      </c>
      <c r="L146">
        <f t="shared" si="5"/>
        <v>153846.05000000002</v>
      </c>
    </row>
    <row r="147" spans="1:12" ht="15.75" customHeight="1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  <c r="K147">
        <f t="shared" si="4"/>
        <v>53088.12</v>
      </c>
      <c r="L147">
        <f t="shared" si="5"/>
        <v>53044.18</v>
      </c>
    </row>
    <row r="148" spans="1:12" ht="15.75" customHeight="1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  <c r="K148">
        <f t="shared" si="4"/>
        <v>2747.67</v>
      </c>
      <c r="L148">
        <f t="shared" si="5"/>
        <v>2731.51</v>
      </c>
    </row>
    <row r="149" spans="1:12" ht="15.75" customHeight="1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  <c r="K149">
        <f t="shared" si="4"/>
        <v>23156.399999999998</v>
      </c>
      <c r="L149">
        <f t="shared" si="5"/>
        <v>22951.989999999998</v>
      </c>
    </row>
    <row r="150" spans="1:12" ht="15.75" customHeight="1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  <c r="K150">
        <f t="shared" si="4"/>
        <v>122386.31999999999</v>
      </c>
      <c r="L150">
        <f t="shared" si="5"/>
        <v>122230.06</v>
      </c>
    </row>
    <row r="151" spans="1:12" ht="15.75" customHeight="1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  <c r="K151">
        <f t="shared" si="4"/>
        <v>92224.74</v>
      </c>
      <c r="L151">
        <f t="shared" si="5"/>
        <v>92038.89</v>
      </c>
    </row>
    <row r="152" spans="1:12" ht="15.75" customHeight="1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  <c r="K152">
        <f t="shared" si="4"/>
        <v>66677.66</v>
      </c>
      <c r="L152">
        <f t="shared" si="5"/>
        <v>66281.010000000009</v>
      </c>
    </row>
    <row r="153" spans="1:12" ht="15.75" customHeight="1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  <c r="K153">
        <f t="shared" si="4"/>
        <v>15857.4</v>
      </c>
      <c r="L153">
        <f t="shared" si="5"/>
        <v>15469.039999999999</v>
      </c>
    </row>
    <row r="154" spans="1:12" ht="15.75" customHeight="1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  <c r="K154">
        <f t="shared" si="4"/>
        <v>94112.079999999987</v>
      </c>
      <c r="L154">
        <f t="shared" si="5"/>
        <v>93735.039999999994</v>
      </c>
    </row>
    <row r="155" spans="1:12" ht="15.75" customHeight="1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  <c r="K155">
        <f t="shared" si="4"/>
        <v>204588.75</v>
      </c>
      <c r="L155">
        <f t="shared" si="5"/>
        <v>204274.78</v>
      </c>
    </row>
    <row r="156" spans="1:12" ht="15.75" customHeight="1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  <c r="K156">
        <f t="shared" si="4"/>
        <v>117897</v>
      </c>
      <c r="L156">
        <f t="shared" si="5"/>
        <v>117753.77</v>
      </c>
    </row>
    <row r="157" spans="1:12" ht="15.75" customHeight="1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  <c r="K157">
        <f t="shared" si="4"/>
        <v>220772.37</v>
      </c>
      <c r="L157">
        <f t="shared" si="5"/>
        <v>220606.34</v>
      </c>
    </row>
    <row r="158" spans="1:12" ht="15.75" customHeight="1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J158" s="2">
        <v>220.75</v>
      </c>
      <c r="K158">
        <f t="shared" si="4"/>
        <v>0</v>
      </c>
      <c r="L158">
        <f t="shared" si="5"/>
        <v>-220.75</v>
      </c>
    </row>
    <row r="159" spans="1:12" ht="15.75" customHeight="1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  <c r="K159">
        <f t="shared" si="4"/>
        <v>12735.699999999999</v>
      </c>
      <c r="L159">
        <f t="shared" si="5"/>
        <v>12403.15</v>
      </c>
    </row>
    <row r="160" spans="1:12" ht="15.75" customHeight="1">
      <c r="A160" s="2" t="s">
        <v>187</v>
      </c>
      <c r="B160" s="2" t="s">
        <v>22</v>
      </c>
      <c r="C160" s="2" t="s">
        <v>31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  <c r="K160">
        <f t="shared" si="4"/>
        <v>117446.84</v>
      </c>
      <c r="L160">
        <f t="shared" si="5"/>
        <v>117417.48999999999</v>
      </c>
    </row>
    <row r="161" spans="1:12" ht="15.75" customHeight="1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  <c r="K161">
        <f t="shared" si="4"/>
        <v>7456.6799999999994</v>
      </c>
      <c r="L161">
        <f t="shared" si="5"/>
        <v>7285.8099999999995</v>
      </c>
    </row>
    <row r="162" spans="1:12" ht="15.75" customHeight="1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  <c r="K162">
        <f t="shared" si="4"/>
        <v>11990.55</v>
      </c>
      <c r="L162">
        <f t="shared" si="5"/>
        <v>11955.67</v>
      </c>
    </row>
    <row r="163" spans="1:12" ht="15.75" customHeight="1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  <c r="K163">
        <f t="shared" si="4"/>
        <v>114473.2</v>
      </c>
      <c r="L163">
        <f t="shared" si="5"/>
        <v>114266.37</v>
      </c>
    </row>
    <row r="164" spans="1:12" ht="15.75" customHeight="1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  <c r="K164">
        <f t="shared" si="4"/>
        <v>14297.36</v>
      </c>
      <c r="L164">
        <f t="shared" si="5"/>
        <v>13937.6</v>
      </c>
    </row>
    <row r="165" spans="1:12" ht="15.75" customHeight="1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  <c r="K165">
        <f t="shared" si="4"/>
        <v>184403.25</v>
      </c>
      <c r="L165">
        <f t="shared" si="5"/>
        <v>184089.82</v>
      </c>
    </row>
    <row r="166" spans="1:12" ht="15.75" customHeight="1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  <c r="K166">
        <f t="shared" si="4"/>
        <v>220534.8</v>
      </c>
      <c r="L166">
        <f t="shared" si="5"/>
        <v>220442.12</v>
      </c>
    </row>
    <row r="167" spans="1:12" ht="15.75" customHeight="1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  <c r="K167">
        <f t="shared" si="4"/>
        <v>176646.6</v>
      </c>
      <c r="L167">
        <f t="shared" si="5"/>
        <v>176256.16</v>
      </c>
    </row>
    <row r="168" spans="1:12" ht="15.75" customHeight="1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  <c r="K168">
        <f t="shared" si="4"/>
        <v>3335.93</v>
      </c>
      <c r="L168">
        <f t="shared" si="5"/>
        <v>3068.3199999999997</v>
      </c>
    </row>
    <row r="169" spans="1:12" ht="15.75" customHeight="1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  <c r="K169">
        <f t="shared" si="4"/>
        <v>70992</v>
      </c>
      <c r="L169">
        <f t="shared" si="5"/>
        <v>70985.850000000006</v>
      </c>
    </row>
    <row r="170" spans="1:12" ht="15.75" customHeight="1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  <c r="K170">
        <f t="shared" si="4"/>
        <v>2065.35</v>
      </c>
      <c r="L170">
        <f t="shared" si="5"/>
        <v>1961.6999999999998</v>
      </c>
    </row>
    <row r="171" spans="1:12" ht="15.75" customHeight="1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  <c r="K171">
        <f t="shared" si="4"/>
        <v>160557</v>
      </c>
      <c r="L171">
        <f t="shared" si="5"/>
        <v>160451.24</v>
      </c>
    </row>
    <row r="172" spans="1:12" ht="15.75" customHeight="1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  <c r="K172">
        <f t="shared" si="4"/>
        <v>168475.03</v>
      </c>
      <c r="L172">
        <f t="shared" si="5"/>
        <v>168445.47</v>
      </c>
    </row>
    <row r="173" spans="1:12" ht="15.75" customHeight="1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  <c r="K173">
        <f t="shared" si="4"/>
        <v>108854.34999999999</v>
      </c>
      <c r="L173">
        <f t="shared" si="5"/>
        <v>108470.34</v>
      </c>
    </row>
    <row r="174" spans="1:12" ht="15.75" customHeight="1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  <c r="K174">
        <f t="shared" si="4"/>
        <v>65238.6</v>
      </c>
      <c r="L174">
        <f t="shared" si="5"/>
        <v>65046.25</v>
      </c>
    </row>
    <row r="175" spans="1:12" ht="15.75" customHeight="1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  <c r="K175">
        <f t="shared" si="4"/>
        <v>5865.34</v>
      </c>
      <c r="L175">
        <f t="shared" si="5"/>
        <v>5506.81</v>
      </c>
    </row>
    <row r="176" spans="1:12" ht="15.75" customHeight="1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  <c r="K176">
        <f t="shared" si="4"/>
        <v>208351.44</v>
      </c>
      <c r="L176">
        <f t="shared" si="5"/>
        <v>208221.2</v>
      </c>
    </row>
    <row r="177" spans="1:12" ht="15.75" customHeight="1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  <c r="K177">
        <f t="shared" si="4"/>
        <v>17497.079999999998</v>
      </c>
      <c r="L177">
        <f t="shared" si="5"/>
        <v>17445.239999999998</v>
      </c>
    </row>
    <row r="178" spans="1:12" ht="15.75" customHeight="1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  <c r="K178">
        <f t="shared" si="4"/>
        <v>176654.66</v>
      </c>
      <c r="L178">
        <f t="shared" si="5"/>
        <v>176463.87</v>
      </c>
    </row>
    <row r="179" spans="1:12" ht="15.75" customHeight="1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  <c r="K179">
        <f t="shared" si="4"/>
        <v>95098.08</v>
      </c>
      <c r="L179">
        <f t="shared" si="5"/>
        <v>95050.73</v>
      </c>
    </row>
    <row r="180" spans="1:12" ht="15.75" customHeight="1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  <c r="K180">
        <f t="shared" si="4"/>
        <v>7293.5999999999995</v>
      </c>
      <c r="L180">
        <f t="shared" si="5"/>
        <v>7098.1699999999992</v>
      </c>
    </row>
    <row r="181" spans="1:12" ht="15.75" customHeight="1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  <c r="K181">
        <f t="shared" si="4"/>
        <v>91361.200000000012</v>
      </c>
      <c r="L181">
        <f t="shared" si="5"/>
        <v>90992.920000000013</v>
      </c>
    </row>
    <row r="182" spans="1:12" ht="15.75" customHeight="1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  <c r="K182">
        <f t="shared" si="4"/>
        <v>64339.200000000004</v>
      </c>
      <c r="L182">
        <f t="shared" si="5"/>
        <v>64129.930000000008</v>
      </c>
    </row>
    <row r="183" spans="1:12" ht="15.75" customHeight="1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  <c r="K183">
        <f t="shared" si="4"/>
        <v>93183.3</v>
      </c>
      <c r="L183">
        <f t="shared" si="5"/>
        <v>92935.930000000008</v>
      </c>
    </row>
    <row r="184" spans="1:12" ht="15.75" customHeight="1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  <c r="K184">
        <f t="shared" si="4"/>
        <v>50940.42</v>
      </c>
      <c r="L184">
        <f t="shared" si="5"/>
        <v>50876.08</v>
      </c>
    </row>
    <row r="185" spans="1:12" ht="15.75" customHeight="1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  <c r="K185">
        <f t="shared" si="4"/>
        <v>23847.599999999999</v>
      </c>
      <c r="L185">
        <f t="shared" si="5"/>
        <v>23828.19</v>
      </c>
    </row>
    <row r="186" spans="1:12" ht="15.75" customHeight="1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  <c r="K186">
        <f t="shared" si="4"/>
        <v>73651.11</v>
      </c>
      <c r="L186">
        <f t="shared" si="5"/>
        <v>73605.009999999995</v>
      </c>
    </row>
    <row r="187" spans="1:12" ht="15.75" customHeight="1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  <c r="K187">
        <f t="shared" si="4"/>
        <v>82123.47</v>
      </c>
      <c r="L187">
        <f t="shared" si="5"/>
        <v>81883.25</v>
      </c>
    </row>
    <row r="188" spans="1:12" ht="15.75" customHeight="1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  <c r="K188">
        <f t="shared" si="4"/>
        <v>41736.14</v>
      </c>
      <c r="L188">
        <f t="shared" si="5"/>
        <v>41696.33</v>
      </c>
    </row>
    <row r="189" spans="1:12" ht="15.75" customHeight="1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  <c r="K189">
        <f t="shared" si="4"/>
        <v>50622.080000000002</v>
      </c>
      <c r="L189">
        <f t="shared" si="5"/>
        <v>50470.43</v>
      </c>
    </row>
    <row r="190" spans="1:12" ht="15.75" customHeight="1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  <c r="K190">
        <f t="shared" si="4"/>
        <v>105970.29000000001</v>
      </c>
      <c r="L190">
        <f t="shared" si="5"/>
        <v>105749.35</v>
      </c>
    </row>
    <row r="191" spans="1:12" ht="15.75" customHeight="1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  <c r="K191">
        <f t="shared" si="4"/>
        <v>1140.18</v>
      </c>
      <c r="L191">
        <f t="shared" si="5"/>
        <v>983.5</v>
      </c>
    </row>
    <row r="192" spans="1:12" ht="15.75" customHeight="1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  <c r="K192">
        <f t="shared" si="4"/>
        <v>9163.6</v>
      </c>
      <c r="L192">
        <f t="shared" si="5"/>
        <v>9096.4500000000007</v>
      </c>
    </row>
    <row r="193" spans="1:12" ht="15.75" customHeight="1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  <c r="K193">
        <f t="shared" si="4"/>
        <v>41361.839999999997</v>
      </c>
      <c r="L193">
        <f t="shared" si="5"/>
        <v>41250.869999999995</v>
      </c>
    </row>
    <row r="194" spans="1:12" ht="15.75" customHeight="1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  <c r="K194">
        <f t="shared" si="4"/>
        <v>11630.88</v>
      </c>
      <c r="L194">
        <f t="shared" si="5"/>
        <v>11259.41</v>
      </c>
    </row>
    <row r="195" spans="1:12" ht="15.75" customHeight="1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  <c r="K195">
        <f t="shared" ref="K195:K258" si="6">H195*I195</f>
        <v>77699.520000000004</v>
      </c>
      <c r="L195">
        <f t="shared" ref="L195:L258" si="7">K195-J195</f>
        <v>77428.48000000001</v>
      </c>
    </row>
    <row r="196" spans="1:12" ht="15.75" customHeight="1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  <c r="K196">
        <f t="shared" si="6"/>
        <v>87441.12</v>
      </c>
      <c r="L196">
        <f t="shared" si="7"/>
        <v>87241.69</v>
      </c>
    </row>
    <row r="197" spans="1:12" ht="15.75" customHeight="1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  <c r="K197">
        <f t="shared" si="6"/>
        <v>106926.77</v>
      </c>
      <c r="L197">
        <f t="shared" si="7"/>
        <v>106919.71</v>
      </c>
    </row>
    <row r="198" spans="1:12" ht="15.75" customHeight="1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  <c r="K198">
        <f t="shared" si="6"/>
        <v>116615.1</v>
      </c>
      <c r="L198">
        <f t="shared" si="7"/>
        <v>116218.12000000001</v>
      </c>
    </row>
    <row r="199" spans="1:12" ht="15.75" customHeight="1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  <c r="K199">
        <f t="shared" si="6"/>
        <v>190533.15000000002</v>
      </c>
      <c r="L199">
        <f t="shared" si="7"/>
        <v>190263.91000000003</v>
      </c>
    </row>
    <row r="200" spans="1:12" ht="15.75" customHeight="1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  <c r="K200">
        <f t="shared" si="6"/>
        <v>46212.55</v>
      </c>
      <c r="L200">
        <f t="shared" si="7"/>
        <v>46084.41</v>
      </c>
    </row>
    <row r="201" spans="1:12" ht="15.75" customHeight="1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I201" s="2">
        <v>407.81</v>
      </c>
      <c r="J201" s="2">
        <v>351.95</v>
      </c>
      <c r="K201">
        <f t="shared" si="6"/>
        <v>0</v>
      </c>
      <c r="L201">
        <f t="shared" si="7"/>
        <v>-351.95</v>
      </c>
    </row>
    <row r="202" spans="1:12" ht="15.75" customHeight="1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  <c r="K202">
        <f t="shared" si="6"/>
        <v>1767.3</v>
      </c>
      <c r="L202">
        <f t="shared" si="7"/>
        <v>1662.44</v>
      </c>
    </row>
    <row r="203" spans="1:12" ht="15.75" customHeight="1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  <c r="K203">
        <f t="shared" si="6"/>
        <v>24570</v>
      </c>
      <c r="L203">
        <f t="shared" si="7"/>
        <v>24351.48</v>
      </c>
    </row>
    <row r="204" spans="1:12" ht="15.75" customHeight="1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  <c r="K204">
        <f t="shared" si="6"/>
        <v>125666.64</v>
      </c>
      <c r="L204">
        <f t="shared" si="7"/>
        <v>125411.48</v>
      </c>
    </row>
    <row r="205" spans="1:12" ht="15.75" customHeight="1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  <c r="K205">
        <f t="shared" si="6"/>
        <v>46408.799999999996</v>
      </c>
      <c r="L205">
        <f t="shared" si="7"/>
        <v>46318.819999999992</v>
      </c>
    </row>
    <row r="206" spans="1:12" ht="15.75" customHeight="1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  <c r="K206">
        <f t="shared" si="6"/>
        <v>108913.92</v>
      </c>
      <c r="L206">
        <f t="shared" si="7"/>
        <v>108522.52</v>
      </c>
    </row>
    <row r="207" spans="1:12" ht="15.75" customHeight="1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  <c r="K207">
        <f t="shared" si="6"/>
        <v>18619.530000000002</v>
      </c>
      <c r="L207">
        <f t="shared" si="7"/>
        <v>18319.750000000004</v>
      </c>
    </row>
    <row r="208" spans="1:12" ht="15.75" customHeight="1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  <c r="K208">
        <f t="shared" si="6"/>
        <v>75056.159999999989</v>
      </c>
      <c r="L208">
        <f t="shared" si="7"/>
        <v>74832.149999999994</v>
      </c>
    </row>
    <row r="209" spans="1:12" ht="15.75" customHeight="1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  <c r="K209">
        <f t="shared" si="6"/>
        <v>58453.2</v>
      </c>
      <c r="L209">
        <f t="shared" si="7"/>
        <v>58379.32</v>
      </c>
    </row>
    <row r="210" spans="1:12" ht="15.75" customHeight="1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  <c r="K210">
        <f t="shared" si="6"/>
        <v>161626.5</v>
      </c>
      <c r="L210">
        <f t="shared" si="7"/>
        <v>161603.06</v>
      </c>
    </row>
    <row r="211" spans="1:12" ht="15.75" customHeight="1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  <c r="K211">
        <f t="shared" si="6"/>
        <v>121510.62</v>
      </c>
      <c r="L211">
        <f t="shared" si="7"/>
        <v>121381.23999999999</v>
      </c>
    </row>
    <row r="212" spans="1:12" ht="15.75" customHeight="1">
      <c r="A212" s="2" t="s">
        <v>239</v>
      </c>
      <c r="B212" s="2" t="s">
        <v>11</v>
      </c>
      <c r="C212" s="2" t="s">
        <v>50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  <c r="K212">
        <f t="shared" si="6"/>
        <v>163183.67999999999</v>
      </c>
      <c r="L212">
        <f t="shared" si="7"/>
        <v>162881.91</v>
      </c>
    </row>
    <row r="213" spans="1:12" ht="15.75" customHeight="1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  <c r="K213">
        <f t="shared" si="6"/>
        <v>58062.48</v>
      </c>
      <c r="L213">
        <f t="shared" si="7"/>
        <v>57953.29</v>
      </c>
    </row>
    <row r="214" spans="1:12" ht="15.75" customHeight="1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  <c r="K214">
        <f t="shared" si="6"/>
        <v>30074.29</v>
      </c>
      <c r="L214">
        <f t="shared" si="7"/>
        <v>29857.55</v>
      </c>
    </row>
    <row r="215" spans="1:12" ht="15.75" customHeight="1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  <c r="K215">
        <f t="shared" si="6"/>
        <v>15668.92</v>
      </c>
      <c r="L215">
        <f t="shared" si="7"/>
        <v>15377.2</v>
      </c>
    </row>
    <row r="216" spans="1:12" ht="15.75" customHeight="1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  <c r="K216">
        <f t="shared" si="6"/>
        <v>205828.36000000002</v>
      </c>
      <c r="L216">
        <f t="shared" si="7"/>
        <v>205783.40000000002</v>
      </c>
    </row>
    <row r="217" spans="1:12" ht="15.75" customHeight="1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  <c r="K217">
        <f t="shared" si="6"/>
        <v>7897.68</v>
      </c>
      <c r="L217">
        <f t="shared" si="7"/>
        <v>7622.93</v>
      </c>
    </row>
    <row r="218" spans="1:12" ht="15.75" customHeight="1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  <c r="K218">
        <f t="shared" si="6"/>
        <v>33026.939999999995</v>
      </c>
      <c r="L218">
        <f t="shared" si="7"/>
        <v>32988.379999999997</v>
      </c>
    </row>
    <row r="219" spans="1:12" ht="15.75" customHeight="1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  <c r="K219">
        <f t="shared" si="6"/>
        <v>46575.86</v>
      </c>
      <c r="L219">
        <f t="shared" si="7"/>
        <v>46189.74</v>
      </c>
    </row>
    <row r="220" spans="1:12" ht="15.75" customHeight="1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  <c r="K220">
        <f t="shared" si="6"/>
        <v>41658.400000000001</v>
      </c>
      <c r="L220">
        <f t="shared" si="7"/>
        <v>41462.020000000004</v>
      </c>
    </row>
    <row r="221" spans="1:12" ht="15.75" customHeight="1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  <c r="K221">
        <f t="shared" si="6"/>
        <v>33330.99</v>
      </c>
      <c r="L221">
        <f t="shared" si="7"/>
        <v>33269.019999999997</v>
      </c>
    </row>
    <row r="222" spans="1:12" ht="15.75" customHeight="1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  <c r="K222">
        <f t="shared" si="6"/>
        <v>25325.7</v>
      </c>
      <c r="L222">
        <f t="shared" si="7"/>
        <v>25187.43</v>
      </c>
    </row>
    <row r="223" spans="1:12" ht="15.75" customHeight="1">
      <c r="A223" s="2" t="s">
        <v>250</v>
      </c>
      <c r="B223" s="5" t="s">
        <v>22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  <c r="K223">
        <f t="shared" si="6"/>
        <v>89760.51</v>
      </c>
      <c r="L223">
        <f t="shared" si="7"/>
        <v>89593.97</v>
      </c>
    </row>
    <row r="224" spans="1:12" ht="15.75" customHeight="1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  <c r="K224">
        <f t="shared" si="6"/>
        <v>5542.53</v>
      </c>
      <c r="L224">
        <f t="shared" si="7"/>
        <v>5238.7699999999995</v>
      </c>
    </row>
    <row r="225" spans="1:12" ht="15.75" customHeight="1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  <c r="K225">
        <f t="shared" si="6"/>
        <v>95286.099999999991</v>
      </c>
      <c r="L225">
        <f t="shared" si="7"/>
        <v>94988.219999999987</v>
      </c>
    </row>
    <row r="226" spans="1:12" ht="15.75" customHeight="1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  <c r="K226">
        <f t="shared" si="6"/>
        <v>130242</v>
      </c>
      <c r="L226">
        <f t="shared" si="7"/>
        <v>129996.45</v>
      </c>
    </row>
    <row r="227" spans="1:12" ht="15.75" customHeight="1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  <c r="K227">
        <f t="shared" si="6"/>
        <v>58257.990000000005</v>
      </c>
      <c r="L227">
        <f t="shared" si="7"/>
        <v>58213.83</v>
      </c>
    </row>
    <row r="228" spans="1:12" ht="15.75" customHeight="1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  <c r="K228">
        <f t="shared" si="6"/>
        <v>10532.16</v>
      </c>
      <c r="L228">
        <f t="shared" si="7"/>
        <v>10469.84</v>
      </c>
    </row>
    <row r="229" spans="1:12" ht="15.75" customHeight="1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I229" s="2">
        <v>49.37</v>
      </c>
      <c r="J229" s="2">
        <v>39.32</v>
      </c>
      <c r="K229">
        <f t="shared" si="6"/>
        <v>0</v>
      </c>
      <c r="L229">
        <f t="shared" si="7"/>
        <v>-39.32</v>
      </c>
    </row>
    <row r="230" spans="1:12" ht="15.75" customHeight="1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  <c r="K230">
        <f t="shared" si="6"/>
        <v>24855.870000000003</v>
      </c>
      <c r="L230">
        <f t="shared" si="7"/>
        <v>24624.160000000003</v>
      </c>
    </row>
    <row r="231" spans="1:12" ht="15.75" customHeight="1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  <c r="K231">
        <f t="shared" si="6"/>
        <v>89095.049999999988</v>
      </c>
      <c r="L231">
        <f t="shared" si="7"/>
        <v>88743.949999999983</v>
      </c>
    </row>
    <row r="232" spans="1:12" ht="15.75" customHeight="1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  <c r="K232">
        <f t="shared" si="6"/>
        <v>235447.36000000002</v>
      </c>
      <c r="L232">
        <f t="shared" si="7"/>
        <v>235272.71000000002</v>
      </c>
    </row>
    <row r="233" spans="1:12" ht="15.75" customHeight="1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  <c r="K233">
        <f t="shared" si="6"/>
        <v>63520.380000000005</v>
      </c>
      <c r="L233">
        <f t="shared" si="7"/>
        <v>63454.360000000008</v>
      </c>
    </row>
    <row r="234" spans="1:12" ht="15.75" customHeight="1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  <c r="K234">
        <f t="shared" si="6"/>
        <v>26890.26</v>
      </c>
      <c r="L234">
        <f t="shared" si="7"/>
        <v>26666.16</v>
      </c>
    </row>
    <row r="235" spans="1:12" ht="15.75" customHeight="1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  <c r="K235">
        <f t="shared" si="6"/>
        <v>20988</v>
      </c>
      <c r="L235">
        <f t="shared" si="7"/>
        <v>20662.919999999998</v>
      </c>
    </row>
    <row r="236" spans="1:12" ht="15.75" customHeight="1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  <c r="K236">
        <f t="shared" si="6"/>
        <v>7316.97</v>
      </c>
      <c r="L236">
        <f t="shared" si="7"/>
        <v>7019.77</v>
      </c>
    </row>
    <row r="237" spans="1:12" ht="15.75" customHeight="1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  <c r="K237">
        <f t="shared" si="6"/>
        <v>35278.32</v>
      </c>
      <c r="L237">
        <f t="shared" si="7"/>
        <v>34925.5</v>
      </c>
    </row>
    <row r="238" spans="1:12" ht="15.75" customHeight="1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  <c r="K238">
        <f t="shared" si="6"/>
        <v>3469.32</v>
      </c>
      <c r="L238">
        <f t="shared" si="7"/>
        <v>3356.71</v>
      </c>
    </row>
    <row r="239" spans="1:12" ht="15.75" customHeight="1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  <c r="K239">
        <f t="shared" si="6"/>
        <v>27662.28</v>
      </c>
      <c r="L239">
        <f t="shared" si="7"/>
        <v>27583.09</v>
      </c>
    </row>
    <row r="240" spans="1:12" ht="15.75" customHeight="1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  <c r="K240">
        <f t="shared" si="6"/>
        <v>23466.66</v>
      </c>
      <c r="L240">
        <f t="shared" si="7"/>
        <v>23114.49</v>
      </c>
    </row>
    <row r="241" spans="1:12" ht="15.75" customHeight="1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  <c r="K241">
        <f t="shared" si="6"/>
        <v>20111.52</v>
      </c>
      <c r="L241">
        <f t="shared" si="7"/>
        <v>19847.810000000001</v>
      </c>
    </row>
    <row r="242" spans="1:12" ht="15.75" customHeight="1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  <c r="K242">
        <f t="shared" si="6"/>
        <v>181878.84</v>
      </c>
      <c r="L242">
        <f t="shared" si="7"/>
        <v>181753.09</v>
      </c>
    </row>
    <row r="243" spans="1:12" ht="15.75" customHeight="1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  <c r="K243">
        <f t="shared" si="6"/>
        <v>77020.12</v>
      </c>
      <c r="L243">
        <f t="shared" si="7"/>
        <v>76722.67</v>
      </c>
    </row>
    <row r="244" spans="1:12" ht="15.75" customHeight="1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  <c r="K244">
        <f t="shared" si="6"/>
        <v>21972.559999999998</v>
      </c>
      <c r="L244">
        <f t="shared" si="7"/>
        <v>21646.14</v>
      </c>
    </row>
    <row r="245" spans="1:12" ht="15.75" customHeight="1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  <c r="K245">
        <f t="shared" si="6"/>
        <v>178645.6</v>
      </c>
      <c r="L245">
        <f t="shared" si="7"/>
        <v>178398.84</v>
      </c>
    </row>
    <row r="246" spans="1:12" ht="15.75" customHeight="1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  <c r="K246">
        <f t="shared" si="6"/>
        <v>36079.1</v>
      </c>
      <c r="L246">
        <f t="shared" si="7"/>
        <v>35803.32</v>
      </c>
    </row>
    <row r="247" spans="1:12" ht="15.75" customHeight="1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  <c r="K247">
        <f t="shared" si="6"/>
        <v>8765.4600000000009</v>
      </c>
      <c r="L247">
        <f t="shared" si="7"/>
        <v>8614.11</v>
      </c>
    </row>
    <row r="248" spans="1:12" ht="15.75" customHeight="1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  <c r="K248">
        <f t="shared" si="6"/>
        <v>19691.75</v>
      </c>
      <c r="L248">
        <f t="shared" si="7"/>
        <v>19475.349999999999</v>
      </c>
    </row>
    <row r="249" spans="1:12" ht="15.75" customHeight="1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  <c r="K249">
        <f t="shared" si="6"/>
        <v>2430.36</v>
      </c>
      <c r="L249">
        <f t="shared" si="7"/>
        <v>2219.7400000000002</v>
      </c>
    </row>
    <row r="250" spans="1:12" ht="15.75" customHeight="1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  <c r="K250">
        <f t="shared" si="6"/>
        <v>127036.8</v>
      </c>
      <c r="L250">
        <f t="shared" si="7"/>
        <v>126697.28</v>
      </c>
    </row>
    <row r="251" spans="1:12" ht="15.75" customHeight="1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  <c r="K251">
        <f t="shared" si="6"/>
        <v>107384.12999999999</v>
      </c>
      <c r="L251">
        <f t="shared" si="7"/>
        <v>107047.81999999999</v>
      </c>
    </row>
    <row r="252" spans="1:12" ht="15.75" customHeight="1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I252" s="2">
        <v>298.8</v>
      </c>
      <c r="J252" s="2">
        <v>333.41</v>
      </c>
      <c r="K252">
        <f t="shared" si="6"/>
        <v>0</v>
      </c>
      <c r="L252">
        <f t="shared" si="7"/>
        <v>-333.41</v>
      </c>
    </row>
    <row r="253" spans="1:12" ht="15.75" customHeight="1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  <c r="K253">
        <f t="shared" si="6"/>
        <v>9549.5999999999985</v>
      </c>
      <c r="L253">
        <f t="shared" si="7"/>
        <v>9543.2099999999991</v>
      </c>
    </row>
    <row r="254" spans="1:12" ht="15.75" customHeight="1">
      <c r="A254" s="2" t="s">
        <v>281</v>
      </c>
      <c r="B254" s="2" t="s">
        <v>17</v>
      </c>
      <c r="C254" s="2" t="s">
        <v>12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  <c r="K254">
        <f t="shared" si="6"/>
        <v>52661.34</v>
      </c>
      <c r="L254">
        <f t="shared" si="7"/>
        <v>52361.02</v>
      </c>
    </row>
    <row r="255" spans="1:12" ht="15.75" customHeight="1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  <c r="K255">
        <f t="shared" si="6"/>
        <v>21138.81</v>
      </c>
      <c r="L255">
        <f t="shared" si="7"/>
        <v>20834.86</v>
      </c>
    </row>
    <row r="256" spans="1:12" ht="15.75" customHeight="1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  <c r="K256">
        <f t="shared" si="6"/>
        <v>39469.700000000004</v>
      </c>
      <c r="L256">
        <f t="shared" si="7"/>
        <v>39197.710000000006</v>
      </c>
    </row>
    <row r="257" spans="1:12" ht="15.75" customHeight="1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  <c r="K257">
        <f t="shared" si="6"/>
        <v>210386.88</v>
      </c>
      <c r="L257">
        <f t="shared" si="7"/>
        <v>210083.89</v>
      </c>
    </row>
    <row r="258" spans="1:12" ht="15.75" customHeight="1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J258" s="2">
        <v>337.1</v>
      </c>
      <c r="K258">
        <f t="shared" si="6"/>
        <v>0</v>
      </c>
      <c r="L258">
        <f t="shared" si="7"/>
        <v>-337.1</v>
      </c>
    </row>
    <row r="259" spans="1:12" ht="15.75" customHeight="1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  <c r="K259">
        <f t="shared" ref="K259:K322" si="8">H259*I259</f>
        <v>109691.14000000001</v>
      </c>
      <c r="L259">
        <f t="shared" ref="L259:L322" si="9">K259-J259</f>
        <v>109501.95000000001</v>
      </c>
    </row>
    <row r="260" spans="1:12" ht="15.75" customHeight="1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  <c r="K260">
        <f t="shared" si="8"/>
        <v>32227.3</v>
      </c>
      <c r="L260">
        <f t="shared" si="9"/>
        <v>32025.48</v>
      </c>
    </row>
    <row r="261" spans="1:12" ht="15.75" customHeight="1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  <c r="K261">
        <f t="shared" si="8"/>
        <v>53927.48</v>
      </c>
      <c r="L261">
        <f t="shared" si="9"/>
        <v>53875.840000000004</v>
      </c>
    </row>
    <row r="262" spans="1:12" ht="15.75" customHeight="1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J262" s="2">
        <v>155.38</v>
      </c>
      <c r="K262">
        <f t="shared" si="8"/>
        <v>0</v>
      </c>
      <c r="L262">
        <f t="shared" si="9"/>
        <v>-155.38</v>
      </c>
    </row>
    <row r="263" spans="1:12" ht="15.75" customHeight="1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  <c r="K263">
        <f t="shared" si="8"/>
        <v>7673.94</v>
      </c>
      <c r="L263">
        <f t="shared" si="9"/>
        <v>7415.8799999999992</v>
      </c>
    </row>
    <row r="264" spans="1:12" ht="15.75" customHeight="1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  <c r="K264">
        <f t="shared" si="8"/>
        <v>59038</v>
      </c>
      <c r="L264">
        <f t="shared" si="9"/>
        <v>58725.4</v>
      </c>
    </row>
    <row r="265" spans="1:12" ht="15.75" customHeight="1">
      <c r="A265" s="2" t="s">
        <v>292</v>
      </c>
      <c r="B265" s="2" t="s">
        <v>22</v>
      </c>
      <c r="C265" s="2" t="s">
        <v>18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  <c r="K265">
        <f t="shared" si="8"/>
        <v>178922.52000000002</v>
      </c>
      <c r="L265">
        <f t="shared" si="9"/>
        <v>178834.07</v>
      </c>
    </row>
    <row r="266" spans="1:12" ht="15.75" customHeight="1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  <c r="K266">
        <f t="shared" si="8"/>
        <v>174173.97</v>
      </c>
      <c r="L266">
        <f t="shared" si="9"/>
        <v>174117.12</v>
      </c>
    </row>
    <row r="267" spans="1:12" ht="15.75" customHeight="1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  <c r="K267">
        <f t="shared" si="8"/>
        <v>25944.799999999999</v>
      </c>
      <c r="L267">
        <f t="shared" si="9"/>
        <v>25678.91</v>
      </c>
    </row>
    <row r="268" spans="1:12" ht="15.75" customHeight="1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  <c r="K268">
        <f t="shared" si="8"/>
        <v>47911.549999999996</v>
      </c>
      <c r="L268">
        <f t="shared" si="9"/>
        <v>47908.799999999996</v>
      </c>
    </row>
    <row r="269" spans="1:12" ht="15.75" customHeight="1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  <c r="K269">
        <f t="shared" si="8"/>
        <v>10171.980000000001</v>
      </c>
      <c r="L269">
        <f t="shared" si="9"/>
        <v>10098.990000000002</v>
      </c>
    </row>
    <row r="270" spans="1:12" ht="15.75" customHeight="1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  <c r="K270">
        <f t="shared" si="8"/>
        <v>47968.799999999996</v>
      </c>
      <c r="L270">
        <f t="shared" si="9"/>
        <v>47955.229999999996</v>
      </c>
    </row>
    <row r="271" spans="1:12" ht="15.75" customHeight="1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  <c r="K271">
        <f t="shared" si="8"/>
        <v>153653.84</v>
      </c>
      <c r="L271">
        <f t="shared" si="9"/>
        <v>153585.41999999998</v>
      </c>
    </row>
    <row r="272" spans="1:12" ht="15.75" customHeight="1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  <c r="K272">
        <f t="shared" si="8"/>
        <v>19365.48</v>
      </c>
      <c r="L272">
        <f t="shared" si="9"/>
        <v>19291.310000000001</v>
      </c>
    </row>
    <row r="273" spans="1:12" ht="15.75" customHeight="1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  <c r="K273">
        <f t="shared" si="8"/>
        <v>109080</v>
      </c>
      <c r="L273">
        <f t="shared" si="9"/>
        <v>108923.71</v>
      </c>
    </row>
    <row r="274" spans="1:12" ht="15.75" customHeight="1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  <c r="K274">
        <f t="shared" si="8"/>
        <v>6813.09</v>
      </c>
      <c r="L274">
        <f t="shared" si="9"/>
        <v>6650.96</v>
      </c>
    </row>
    <row r="275" spans="1:12" ht="15.75" customHeight="1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  <c r="K275">
        <f t="shared" si="8"/>
        <v>34147.979999999996</v>
      </c>
      <c r="L275">
        <f t="shared" si="9"/>
        <v>33798.019999999997</v>
      </c>
    </row>
    <row r="276" spans="1:12" ht="15.75" customHeight="1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  <c r="K276">
        <f t="shared" si="8"/>
        <v>25935.46</v>
      </c>
      <c r="L276">
        <f t="shared" si="9"/>
        <v>25730.44</v>
      </c>
    </row>
    <row r="277" spans="1:12" ht="15.75" customHeight="1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  <c r="K277">
        <f t="shared" si="8"/>
        <v>8671.86</v>
      </c>
      <c r="L277">
        <f t="shared" si="9"/>
        <v>8381.94</v>
      </c>
    </row>
    <row r="278" spans="1:12" ht="15.75" customHeight="1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  <c r="K278">
        <f t="shared" si="8"/>
        <v>91745.94</v>
      </c>
      <c r="L278">
        <f t="shared" si="9"/>
        <v>91702.49</v>
      </c>
    </row>
    <row r="279" spans="1:12" ht="15.75" customHeight="1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  <c r="K279">
        <f t="shared" si="8"/>
        <v>37401.279999999999</v>
      </c>
      <c r="L279">
        <f t="shared" si="9"/>
        <v>37309.56</v>
      </c>
    </row>
    <row r="280" spans="1:12" ht="15.75" customHeight="1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  <c r="K280">
        <f t="shared" si="8"/>
        <v>154792.95000000001</v>
      </c>
      <c r="L280">
        <f t="shared" si="9"/>
        <v>154511.18000000002</v>
      </c>
    </row>
    <row r="281" spans="1:12" ht="15.75" customHeight="1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  <c r="K281">
        <f t="shared" si="8"/>
        <v>11166.259999999998</v>
      </c>
      <c r="L281">
        <f t="shared" si="9"/>
        <v>11143.239999999998</v>
      </c>
    </row>
    <row r="282" spans="1:12" ht="15.75" customHeight="1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  <c r="K282">
        <f t="shared" si="8"/>
        <v>26087.460000000003</v>
      </c>
      <c r="L282">
        <f t="shared" si="9"/>
        <v>25891.790000000005</v>
      </c>
    </row>
    <row r="283" spans="1:12" ht="15.75" customHeight="1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  <c r="K283">
        <f t="shared" si="8"/>
        <v>52837.5</v>
      </c>
      <c r="L283">
        <f t="shared" si="9"/>
        <v>52596.95</v>
      </c>
    </row>
    <row r="284" spans="1:12" ht="15.75" customHeight="1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  <c r="K284">
        <f t="shared" si="8"/>
        <v>31256.160000000003</v>
      </c>
      <c r="L284">
        <f t="shared" si="9"/>
        <v>31014.510000000002</v>
      </c>
    </row>
    <row r="285" spans="1:12" ht="15.75" customHeight="1">
      <c r="A285" s="2" t="s">
        <v>312</v>
      </c>
      <c r="B285" s="2" t="s">
        <v>11</v>
      </c>
      <c r="C285" s="2" t="s">
        <v>12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  <c r="K285">
        <f t="shared" si="8"/>
        <v>59419.5</v>
      </c>
      <c r="L285">
        <f t="shared" si="9"/>
        <v>59408.37</v>
      </c>
    </row>
    <row r="286" spans="1:12" ht="15.75" customHeight="1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  <c r="K286">
        <f t="shared" si="8"/>
        <v>9189.74</v>
      </c>
      <c r="L286">
        <f t="shared" si="9"/>
        <v>9059.5399999999991</v>
      </c>
    </row>
    <row r="287" spans="1:12" ht="15.75" customHeight="1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  <c r="K287">
        <f t="shared" si="8"/>
        <v>4513.3999999999996</v>
      </c>
      <c r="L287">
        <f t="shared" si="9"/>
        <v>4258.08</v>
      </c>
    </row>
    <row r="288" spans="1:12" ht="15.75" customHeight="1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  <c r="K288">
        <f t="shared" si="8"/>
        <v>112728.4</v>
      </c>
      <c r="L288">
        <f t="shared" si="9"/>
        <v>112667.09999999999</v>
      </c>
    </row>
    <row r="289" spans="1:12" ht="15.75" customHeight="1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J289" s="2">
        <v>278.77999999999997</v>
      </c>
      <c r="K289">
        <f t="shared" si="8"/>
        <v>0</v>
      </c>
      <c r="L289">
        <f t="shared" si="9"/>
        <v>-278.77999999999997</v>
      </c>
    </row>
    <row r="290" spans="1:12" ht="15.75" customHeight="1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I290" s="2">
        <v>173.84</v>
      </c>
      <c r="J290" s="2">
        <v>298.88</v>
      </c>
      <c r="K290">
        <f t="shared" si="8"/>
        <v>0</v>
      </c>
      <c r="L290">
        <f t="shared" si="9"/>
        <v>-298.88</v>
      </c>
    </row>
    <row r="291" spans="1:12" ht="15.75" customHeight="1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  <c r="K291">
        <f t="shared" si="8"/>
        <v>45538.86</v>
      </c>
      <c r="L291">
        <f t="shared" si="9"/>
        <v>45146.04</v>
      </c>
    </row>
    <row r="292" spans="1:12" ht="15.75" customHeight="1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  <c r="K292">
        <f t="shared" si="8"/>
        <v>131758.06</v>
      </c>
      <c r="L292">
        <f t="shared" si="9"/>
        <v>131672.54</v>
      </c>
    </row>
    <row r="293" spans="1:12" ht="15.75" customHeight="1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  <c r="K293">
        <f t="shared" si="8"/>
        <v>68943.930000000008</v>
      </c>
      <c r="L293">
        <f t="shared" si="9"/>
        <v>68613.530000000013</v>
      </c>
    </row>
    <row r="294" spans="1:12" ht="15.75" customHeight="1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  <c r="K294">
        <f t="shared" si="8"/>
        <v>125091.48000000001</v>
      </c>
      <c r="L294">
        <f t="shared" si="9"/>
        <v>124882.40000000001</v>
      </c>
    </row>
    <row r="295" spans="1:12" ht="15.75" customHeight="1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I295" s="2">
        <v>387.45</v>
      </c>
      <c r="J295" s="2">
        <v>150.63999999999999</v>
      </c>
      <c r="K295">
        <f t="shared" si="8"/>
        <v>0</v>
      </c>
      <c r="L295">
        <f t="shared" si="9"/>
        <v>-150.63999999999999</v>
      </c>
    </row>
    <row r="296" spans="1:12" ht="15.75" customHeight="1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  <c r="K296">
        <f t="shared" si="8"/>
        <v>25590.560000000001</v>
      </c>
      <c r="L296">
        <f t="shared" si="9"/>
        <v>25539.850000000002</v>
      </c>
    </row>
    <row r="297" spans="1:12" ht="15.75" customHeight="1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  <c r="K297">
        <f t="shared" si="8"/>
        <v>31468.74</v>
      </c>
      <c r="L297">
        <f t="shared" si="9"/>
        <v>31174.010000000002</v>
      </c>
    </row>
    <row r="298" spans="1:12" ht="15.75" customHeight="1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  <c r="K298">
        <f t="shared" si="8"/>
        <v>14994.999999999998</v>
      </c>
      <c r="L298">
        <f t="shared" si="9"/>
        <v>14899.129999999997</v>
      </c>
    </row>
    <row r="299" spans="1:12" ht="15.75" customHeight="1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  <c r="K299">
        <f t="shared" si="8"/>
        <v>83471.899999999994</v>
      </c>
      <c r="L299">
        <f t="shared" si="9"/>
        <v>83322.069999999992</v>
      </c>
    </row>
    <row r="300" spans="1:12" ht="15.75" customHeight="1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  <c r="K300">
        <f t="shared" si="8"/>
        <v>15864.4</v>
      </c>
      <c r="L300">
        <f t="shared" si="9"/>
        <v>15837.51</v>
      </c>
    </row>
    <row r="301" spans="1:12" ht="15.75" customHeight="1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  <c r="K301">
        <f t="shared" si="8"/>
        <v>67573.16</v>
      </c>
      <c r="L301">
        <f t="shared" si="9"/>
        <v>67252.22</v>
      </c>
    </row>
    <row r="302" spans="1:12" ht="15.75" customHeight="1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  <c r="K302">
        <f t="shared" si="8"/>
        <v>17076.95</v>
      </c>
      <c r="L302">
        <f t="shared" si="9"/>
        <v>16769.850000000002</v>
      </c>
    </row>
    <row r="303" spans="1:12" ht="15.75" customHeight="1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  <c r="K303">
        <f t="shared" si="8"/>
        <v>37854.310000000005</v>
      </c>
      <c r="L303">
        <f t="shared" si="9"/>
        <v>37560.33</v>
      </c>
    </row>
    <row r="304" spans="1:12" ht="15.75" customHeight="1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  <c r="K304">
        <f t="shared" si="8"/>
        <v>196715.44</v>
      </c>
      <c r="L304">
        <f t="shared" si="9"/>
        <v>196594.26</v>
      </c>
    </row>
    <row r="305" spans="1:12" ht="15.75" customHeight="1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  <c r="K305">
        <f t="shared" si="8"/>
        <v>29944.05</v>
      </c>
      <c r="L305">
        <f t="shared" si="9"/>
        <v>29873</v>
      </c>
    </row>
    <row r="306" spans="1:12" ht="15.75" customHeight="1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  <c r="K306">
        <f t="shared" si="8"/>
        <v>12638.779999999999</v>
      </c>
      <c r="L306">
        <f t="shared" si="9"/>
        <v>12383.029999999999</v>
      </c>
    </row>
    <row r="307" spans="1:12" ht="15.75" customHeight="1">
      <c r="A307" s="2" t="s">
        <v>334</v>
      </c>
      <c r="B307" s="2" t="s">
        <v>22</v>
      </c>
      <c r="C307" s="2" t="s">
        <v>12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  <c r="K307">
        <f t="shared" si="8"/>
        <v>30578.6</v>
      </c>
      <c r="L307">
        <f t="shared" si="9"/>
        <v>30379.129999999997</v>
      </c>
    </row>
    <row r="308" spans="1:12" ht="15.75" customHeight="1">
      <c r="A308" s="2" t="s">
        <v>335</v>
      </c>
      <c r="B308" s="2" t="s">
        <v>17</v>
      </c>
      <c r="C308" s="2" t="s">
        <v>31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  <c r="K308">
        <f t="shared" si="8"/>
        <v>14061.22</v>
      </c>
      <c r="L308">
        <f t="shared" si="9"/>
        <v>13988.279999999999</v>
      </c>
    </row>
    <row r="309" spans="1:12" ht="15.75" customHeight="1">
      <c r="A309" s="2" t="s">
        <v>336</v>
      </c>
      <c r="B309" s="2" t="s">
        <v>48</v>
      </c>
      <c r="C309" s="2" t="s">
        <v>50</v>
      </c>
      <c r="E309" s="2" t="s">
        <v>14</v>
      </c>
      <c r="F309" s="2" t="s">
        <v>28</v>
      </c>
      <c r="G309" s="3">
        <v>45234</v>
      </c>
      <c r="H309" s="2">
        <v>157</v>
      </c>
      <c r="J309" s="2">
        <v>274.99</v>
      </c>
      <c r="K309">
        <f t="shared" si="8"/>
        <v>0</v>
      </c>
      <c r="L309">
        <f t="shared" si="9"/>
        <v>-274.99</v>
      </c>
    </row>
    <row r="310" spans="1:12" ht="15.75" customHeight="1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  <c r="K310">
        <f t="shared" si="8"/>
        <v>58083.9</v>
      </c>
      <c r="L310">
        <f t="shared" si="9"/>
        <v>57687.43</v>
      </c>
    </row>
    <row r="311" spans="1:12" ht="15.75" customHeight="1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  <c r="K311">
        <f t="shared" si="8"/>
        <v>25163.86</v>
      </c>
      <c r="L311">
        <f t="shared" si="9"/>
        <v>24864.47</v>
      </c>
    </row>
    <row r="312" spans="1:12" ht="15.75" customHeight="1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  <c r="K312">
        <f t="shared" si="8"/>
        <v>100087.95</v>
      </c>
      <c r="L312">
        <f t="shared" si="9"/>
        <v>99791.44</v>
      </c>
    </row>
    <row r="313" spans="1:12" ht="15.75" customHeight="1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  <c r="K313">
        <f t="shared" si="8"/>
        <v>42164.25</v>
      </c>
      <c r="L313">
        <f t="shared" si="9"/>
        <v>41784.03</v>
      </c>
    </row>
    <row r="314" spans="1:12" ht="15.75" customHeight="1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  <c r="K314">
        <f t="shared" si="8"/>
        <v>7758.41</v>
      </c>
      <c r="L314">
        <f t="shared" si="9"/>
        <v>7675.6399999999994</v>
      </c>
    </row>
    <row r="315" spans="1:12" ht="15.75" customHeight="1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I315" s="2">
        <v>192.35</v>
      </c>
      <c r="J315" s="2">
        <v>227.09</v>
      </c>
      <c r="K315">
        <f t="shared" si="8"/>
        <v>0</v>
      </c>
      <c r="L315">
        <f t="shared" si="9"/>
        <v>-227.09</v>
      </c>
    </row>
    <row r="316" spans="1:12" ht="15.75" customHeight="1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  <c r="K316">
        <f t="shared" si="8"/>
        <v>2031.26</v>
      </c>
      <c r="L316">
        <f t="shared" si="9"/>
        <v>1639.3600000000001</v>
      </c>
    </row>
    <row r="317" spans="1:12" ht="15.75" customHeight="1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  <c r="K317">
        <f t="shared" si="8"/>
        <v>116475.84</v>
      </c>
      <c r="L317">
        <f t="shared" si="9"/>
        <v>116408.05</v>
      </c>
    </row>
    <row r="318" spans="1:12" ht="15.75" customHeight="1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I318" s="2">
        <v>225.94</v>
      </c>
      <c r="J318" s="2">
        <v>280.7</v>
      </c>
      <c r="K318">
        <f t="shared" si="8"/>
        <v>0</v>
      </c>
      <c r="L318">
        <f t="shared" si="9"/>
        <v>-280.7</v>
      </c>
    </row>
    <row r="319" spans="1:12" ht="15.75" customHeight="1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  <c r="K319">
        <f t="shared" si="8"/>
        <v>41169.040000000001</v>
      </c>
      <c r="L319">
        <f t="shared" si="9"/>
        <v>40933.89</v>
      </c>
    </row>
    <row r="320" spans="1:12" ht="15.75" customHeight="1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  <c r="K320">
        <f t="shared" si="8"/>
        <v>137399.79999999999</v>
      </c>
      <c r="L320">
        <f t="shared" si="9"/>
        <v>137164.37999999998</v>
      </c>
    </row>
    <row r="321" spans="1:12" ht="15.75" customHeight="1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  <c r="K321">
        <f t="shared" si="8"/>
        <v>20701.62</v>
      </c>
      <c r="L321">
        <f t="shared" si="9"/>
        <v>20421.95</v>
      </c>
    </row>
    <row r="322" spans="1:12" ht="15.75" customHeight="1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  <c r="K322">
        <f t="shared" si="8"/>
        <v>204914.52</v>
      </c>
      <c r="L322">
        <f t="shared" si="9"/>
        <v>204542.53</v>
      </c>
    </row>
    <row r="323" spans="1:12" ht="15.75" customHeight="1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  <c r="K323">
        <f t="shared" ref="K323:K351" si="10">H323*I323</f>
        <v>27460.66</v>
      </c>
      <c r="L323">
        <f t="shared" ref="L323:L351" si="11">K323-J323</f>
        <v>27147.19</v>
      </c>
    </row>
    <row r="324" spans="1:12" ht="15.75" customHeight="1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  <c r="K324">
        <f t="shared" si="10"/>
        <v>47330</v>
      </c>
      <c r="L324">
        <f t="shared" si="11"/>
        <v>47305.66</v>
      </c>
    </row>
    <row r="325" spans="1:12" ht="15.75" customHeight="1">
      <c r="A325" s="2" t="s">
        <v>352</v>
      </c>
      <c r="B325" s="2" t="s">
        <v>48</v>
      </c>
      <c r="C325" s="2" t="s">
        <v>18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  <c r="K325">
        <f t="shared" si="10"/>
        <v>14570.57</v>
      </c>
      <c r="L325">
        <f t="shared" si="11"/>
        <v>14229.18</v>
      </c>
    </row>
    <row r="326" spans="1:12" ht="15.75" customHeight="1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  <c r="K326">
        <f t="shared" si="10"/>
        <v>86191.35</v>
      </c>
      <c r="L326">
        <f t="shared" si="11"/>
        <v>86099.58</v>
      </c>
    </row>
    <row r="327" spans="1:12" ht="15.75" customHeight="1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  <c r="K327">
        <f t="shared" si="10"/>
        <v>23993.759999999998</v>
      </c>
      <c r="L327">
        <f t="shared" si="11"/>
        <v>23841.75</v>
      </c>
    </row>
    <row r="328" spans="1:12" ht="15.75" customHeight="1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  <c r="K328">
        <f t="shared" si="10"/>
        <v>83593.37000000001</v>
      </c>
      <c r="L328">
        <f t="shared" si="11"/>
        <v>83407.600000000006</v>
      </c>
    </row>
    <row r="329" spans="1:12" ht="15.75" customHeight="1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I329" s="2">
        <v>5.61</v>
      </c>
      <c r="J329" s="2">
        <v>193.4</v>
      </c>
      <c r="K329">
        <f t="shared" si="10"/>
        <v>0</v>
      </c>
      <c r="L329">
        <f t="shared" si="11"/>
        <v>-193.4</v>
      </c>
    </row>
    <row r="330" spans="1:12" ht="15.75" customHeight="1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  <c r="K330">
        <f t="shared" si="10"/>
        <v>56642.559999999998</v>
      </c>
      <c r="L330">
        <f t="shared" si="11"/>
        <v>56467.360000000001</v>
      </c>
    </row>
    <row r="331" spans="1:12" ht="15.75" customHeight="1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  <c r="K331">
        <f t="shared" si="10"/>
        <v>48580.29</v>
      </c>
      <c r="L331">
        <f t="shared" si="11"/>
        <v>48205.22</v>
      </c>
    </row>
    <row r="332" spans="1:12" ht="15.75" customHeight="1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  <c r="K332">
        <f t="shared" si="10"/>
        <v>43932.81</v>
      </c>
      <c r="L332">
        <f t="shared" si="11"/>
        <v>43649.81</v>
      </c>
    </row>
    <row r="333" spans="1:12" ht="15.75" customHeight="1">
      <c r="A333" s="2" t="s">
        <v>360</v>
      </c>
      <c r="B333" s="5" t="s">
        <v>17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  <c r="K333">
        <f t="shared" si="10"/>
        <v>25459.85</v>
      </c>
      <c r="L333">
        <f t="shared" si="11"/>
        <v>25206.639999999999</v>
      </c>
    </row>
    <row r="334" spans="1:12" ht="15.75" customHeight="1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  <c r="K334">
        <f t="shared" si="10"/>
        <v>9776.64</v>
      </c>
      <c r="L334">
        <f t="shared" si="11"/>
        <v>9754.7999999999993</v>
      </c>
    </row>
    <row r="335" spans="1:12" ht="15.75" customHeight="1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  <c r="K335">
        <f t="shared" si="10"/>
        <v>239220.11</v>
      </c>
      <c r="L335">
        <f t="shared" si="11"/>
        <v>238858.34999999998</v>
      </c>
    </row>
    <row r="336" spans="1:12" ht="15.75" customHeight="1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  <c r="K336">
        <f t="shared" si="10"/>
        <v>1714.65</v>
      </c>
      <c r="L336">
        <f t="shared" si="11"/>
        <v>1350.71</v>
      </c>
    </row>
    <row r="337" spans="1:12" ht="15.75" customHeight="1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  <c r="K337">
        <f t="shared" si="10"/>
        <v>142041.59999999998</v>
      </c>
      <c r="L337">
        <f t="shared" si="11"/>
        <v>141729.07999999999</v>
      </c>
    </row>
    <row r="338" spans="1:12" ht="15.75" customHeight="1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  <c r="K338">
        <f t="shared" si="10"/>
        <v>168446.02</v>
      </c>
      <c r="L338">
        <f t="shared" si="11"/>
        <v>168441.22</v>
      </c>
    </row>
    <row r="339" spans="1:12" ht="15.75" customHeight="1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  <c r="K339">
        <f t="shared" si="10"/>
        <v>39441.54</v>
      </c>
      <c r="L339">
        <f t="shared" si="11"/>
        <v>39416.74</v>
      </c>
    </row>
    <row r="340" spans="1:12" ht="15.75" customHeight="1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  <c r="K340">
        <f t="shared" si="10"/>
        <v>124507.98000000001</v>
      </c>
      <c r="L340">
        <f t="shared" si="11"/>
        <v>124416.34000000001</v>
      </c>
    </row>
    <row r="341" spans="1:12" ht="15.75" customHeight="1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  <c r="K341">
        <f t="shared" si="10"/>
        <v>23868</v>
      </c>
      <c r="L341">
        <f t="shared" si="11"/>
        <v>23813.72</v>
      </c>
    </row>
    <row r="342" spans="1:12" ht="15.75" customHeight="1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  <c r="K342">
        <f t="shared" si="10"/>
        <v>43110.240000000005</v>
      </c>
      <c r="L342">
        <f t="shared" si="11"/>
        <v>42949.500000000007</v>
      </c>
    </row>
    <row r="343" spans="1:12" ht="15.75" customHeight="1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  <c r="K343">
        <f t="shared" si="10"/>
        <v>181704.6</v>
      </c>
      <c r="L343">
        <f t="shared" si="11"/>
        <v>181335.4</v>
      </c>
    </row>
    <row r="344" spans="1:12" ht="15.75" customHeight="1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  <c r="K344">
        <f t="shared" si="10"/>
        <v>57158.64</v>
      </c>
      <c r="L344">
        <f t="shared" si="11"/>
        <v>56968.76</v>
      </c>
    </row>
    <row r="345" spans="1:12" ht="15.75" customHeight="1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  <c r="K345">
        <f t="shared" si="10"/>
        <v>122173.79999999999</v>
      </c>
      <c r="L345">
        <f t="shared" si="11"/>
        <v>122166.46999999999</v>
      </c>
    </row>
    <row r="346" spans="1:12" ht="15.75" customHeight="1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  <c r="K346">
        <f t="shared" si="10"/>
        <v>4606.0199999999995</v>
      </c>
      <c r="L346">
        <f t="shared" si="11"/>
        <v>4491.49</v>
      </c>
    </row>
    <row r="347" spans="1:12" ht="15.75" customHeight="1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  <c r="K347">
        <f t="shared" si="10"/>
        <v>22726.06</v>
      </c>
      <c r="L347">
        <f t="shared" si="11"/>
        <v>22706.31</v>
      </c>
    </row>
    <row r="348" spans="1:12" ht="15.75" customHeight="1">
      <c r="A348" s="2" t="s">
        <v>375</v>
      </c>
      <c r="B348" s="5" t="s">
        <v>22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  <c r="K348">
        <f t="shared" si="10"/>
        <v>2971.6800000000003</v>
      </c>
      <c r="L348">
        <f t="shared" si="11"/>
        <v>2955.2400000000002</v>
      </c>
    </row>
    <row r="349" spans="1:12" ht="15.75" customHeight="1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  <c r="K349">
        <f t="shared" si="10"/>
        <v>23272.32</v>
      </c>
      <c r="L349">
        <f t="shared" si="11"/>
        <v>23160.579999999998</v>
      </c>
    </row>
    <row r="350" spans="1:12" ht="15.75" customHeight="1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  <c r="K350">
        <f t="shared" si="10"/>
        <v>27269.280000000002</v>
      </c>
      <c r="L350">
        <f t="shared" si="11"/>
        <v>27157.590000000004</v>
      </c>
    </row>
    <row r="351" spans="1:12" ht="15.75" customHeight="1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  <c r="K351">
        <f t="shared" si="10"/>
        <v>74005.25</v>
      </c>
      <c r="L351">
        <f t="shared" si="11"/>
        <v>73689.97</v>
      </c>
    </row>
    <row r="352" spans="1:1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4A67-182E-49CA-8E8E-C2B285DAA2A3}">
  <dimension ref="B2:D18"/>
  <sheetViews>
    <sheetView workbookViewId="0">
      <selection activeCell="G7" sqref="G7"/>
    </sheetView>
  </sheetViews>
  <sheetFormatPr defaultRowHeight="14.5"/>
  <cols>
    <col min="1" max="1" width="8.7265625" style="4"/>
    <col min="2" max="2" width="13.36328125" style="4" customWidth="1"/>
    <col min="3" max="3" width="8.7265625" style="4"/>
    <col min="4" max="4" width="13.36328125" style="4" customWidth="1"/>
    <col min="5" max="16384" width="8.7265625" style="4"/>
  </cols>
  <sheetData>
    <row r="2" spans="2:4">
      <c r="B2" s="4" t="s">
        <v>379</v>
      </c>
    </row>
    <row r="4" spans="2:4">
      <c r="B4" s="4" t="s">
        <v>380</v>
      </c>
      <c r="D4" s="4" t="s">
        <v>381</v>
      </c>
    </row>
    <row r="6" spans="2:4">
      <c r="B6" s="4" t="s">
        <v>382</v>
      </c>
      <c r="D6" s="4" t="s">
        <v>383</v>
      </c>
    </row>
    <row r="7" spans="2:4">
      <c r="B7" s="4" t="s">
        <v>1</v>
      </c>
      <c r="D7" s="4">
        <f>COUNTBLANK(Retail_Dataset!B2:B351)</f>
        <v>0</v>
      </c>
    </row>
    <row r="8" spans="2:4">
      <c r="B8" s="4" t="s">
        <v>3</v>
      </c>
      <c r="D8" s="4">
        <f>COUNTBLANK(Retail_Dataset!D2:D351)</f>
        <v>10</v>
      </c>
    </row>
    <row r="9" spans="2:4">
      <c r="B9" s="4" t="s">
        <v>7</v>
      </c>
      <c r="D9" s="4">
        <f>COUNTBLANK(Retail_Dataset!H2:H351)</f>
        <v>10</v>
      </c>
    </row>
    <row r="10" spans="2:4">
      <c r="B10" s="4" t="s">
        <v>8</v>
      </c>
      <c r="D10" s="4">
        <f>COUNTBLANK(Retail_Dataset!I2:I351)</f>
        <v>10</v>
      </c>
    </row>
    <row r="13" spans="2:4">
      <c r="B13" s="4" t="s">
        <v>384</v>
      </c>
      <c r="D13" s="4" t="s">
        <v>385</v>
      </c>
    </row>
    <row r="14" spans="2:4">
      <c r="D14" s="4" t="s">
        <v>386</v>
      </c>
    </row>
    <row r="15" spans="2:4">
      <c r="D15" s="4" t="s">
        <v>387</v>
      </c>
    </row>
    <row r="18" spans="2:2">
      <c r="B18" s="4" t="s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1C98-E15E-4687-90DB-58602335B800}">
  <dimension ref="C2:E8"/>
  <sheetViews>
    <sheetView workbookViewId="0">
      <selection activeCell="E8" sqref="E8"/>
    </sheetView>
  </sheetViews>
  <sheetFormatPr defaultRowHeight="14.5"/>
  <sheetData>
    <row r="2" spans="3:5">
      <c r="C2" s="6" t="s">
        <v>389</v>
      </c>
      <c r="D2" s="5" t="s">
        <v>390</v>
      </c>
    </row>
    <row r="4" spans="3:5">
      <c r="C4" s="5" t="s">
        <v>391</v>
      </c>
      <c r="E4" s="5" t="s">
        <v>392</v>
      </c>
    </row>
    <row r="6" spans="3:5">
      <c r="C6" s="5" t="s">
        <v>393</v>
      </c>
      <c r="E6" s="5" t="s">
        <v>394</v>
      </c>
    </row>
    <row r="7" spans="3:5">
      <c r="E7" s="5" t="s">
        <v>395</v>
      </c>
    </row>
    <row r="8" spans="3:5">
      <c r="E8" s="5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B7C7-B65C-4702-80B6-AA773E8FC9D4}">
  <dimension ref="A2:C14"/>
  <sheetViews>
    <sheetView workbookViewId="0">
      <selection activeCell="J18" sqref="J18"/>
    </sheetView>
  </sheetViews>
  <sheetFormatPr defaultRowHeight="14.5"/>
  <sheetData>
    <row r="2" spans="1:3">
      <c r="A2" s="6" t="s">
        <v>397</v>
      </c>
      <c r="B2" s="5" t="s">
        <v>398</v>
      </c>
    </row>
    <row r="4" spans="1:3">
      <c r="A4" s="5" t="s">
        <v>391</v>
      </c>
      <c r="C4" s="5" t="s">
        <v>399</v>
      </c>
    </row>
    <row r="6" spans="1:3">
      <c r="A6" s="5" t="s">
        <v>393</v>
      </c>
      <c r="C6" t="s">
        <v>400</v>
      </c>
    </row>
    <row r="7" spans="1:3">
      <c r="C7" t="s">
        <v>401</v>
      </c>
    </row>
    <row r="8" spans="1:3">
      <c r="C8" t="s">
        <v>402</v>
      </c>
    </row>
    <row r="10" spans="1:3">
      <c r="A10" s="5" t="s">
        <v>403</v>
      </c>
    </row>
    <row r="11" spans="1:3">
      <c r="A11" t="s">
        <v>7</v>
      </c>
      <c r="C11" s="5" t="s">
        <v>404</v>
      </c>
    </row>
    <row r="12" spans="1:3">
      <c r="A12" s="5" t="s">
        <v>8</v>
      </c>
      <c r="C12" s="5" t="s">
        <v>404</v>
      </c>
    </row>
    <row r="14" spans="1:3">
      <c r="A14" s="5" t="s">
        <v>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9A88-EAD6-4D9B-98D7-1B1B3C67DEF2}">
  <dimension ref="A1:C7"/>
  <sheetViews>
    <sheetView workbookViewId="0">
      <selection activeCell="D22" sqref="D22"/>
    </sheetView>
  </sheetViews>
  <sheetFormatPr defaultRowHeight="14.5"/>
  <sheetData>
    <row r="1" spans="1:3">
      <c r="A1" s="5" t="s">
        <v>407</v>
      </c>
    </row>
    <row r="3" spans="1:3">
      <c r="A3" s="5" t="s">
        <v>391</v>
      </c>
      <c r="C3" t="s">
        <v>408</v>
      </c>
    </row>
    <row r="5" spans="1:3">
      <c r="A5" t="s">
        <v>393</v>
      </c>
      <c r="C5" t="s">
        <v>409</v>
      </c>
    </row>
    <row r="7" spans="1:3">
      <c r="A7" s="5" t="s">
        <v>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91D3-4AA5-4431-B5A7-54A924ABB801}">
  <dimension ref="A1:C9"/>
  <sheetViews>
    <sheetView workbookViewId="0">
      <selection activeCell="E21" sqref="E21"/>
    </sheetView>
  </sheetViews>
  <sheetFormatPr defaultRowHeight="14.5"/>
  <sheetData>
    <row r="1" spans="1:3">
      <c r="A1" s="6" t="s">
        <v>411</v>
      </c>
      <c r="B1" s="5" t="s">
        <v>412</v>
      </c>
    </row>
    <row r="3" spans="1:3">
      <c r="A3" s="5" t="s">
        <v>391</v>
      </c>
      <c r="C3" t="s">
        <v>413</v>
      </c>
    </row>
    <row r="5" spans="1:3">
      <c r="A5" t="s">
        <v>393</v>
      </c>
      <c r="C5" t="s">
        <v>414</v>
      </c>
    </row>
    <row r="7" spans="1:3">
      <c r="A7" t="s">
        <v>415</v>
      </c>
      <c r="C7">
        <v>15849.3</v>
      </c>
    </row>
    <row r="9" spans="1:3">
      <c r="A9" s="5" t="s">
        <v>416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5E1F-87C2-41CF-873E-9F5482473B2D}">
  <dimension ref="A1:C21"/>
  <sheetViews>
    <sheetView workbookViewId="0">
      <selection activeCell="F19" sqref="F19"/>
    </sheetView>
  </sheetViews>
  <sheetFormatPr defaultRowHeight="14.5"/>
  <cols>
    <col min="2" max="2" width="12.453125" customWidth="1"/>
  </cols>
  <sheetData>
    <row r="1" spans="1:3">
      <c r="A1" s="8" t="s">
        <v>1</v>
      </c>
      <c r="B1" s="5" t="s">
        <v>418</v>
      </c>
    </row>
    <row r="2" spans="1:3">
      <c r="A2" t="s">
        <v>11</v>
      </c>
      <c r="B2">
        <f>AVERAGEIF(Retail_Dataset!B:B, A2, Retail_Dataset!L:L)</f>
        <v>65823.338131868135</v>
      </c>
    </row>
    <row r="3" spans="1:3">
      <c r="A3" t="s">
        <v>22</v>
      </c>
      <c r="B3">
        <f>AVERAGEIF(Retail_Dataset!B:B, A3, Retail_Dataset!L:L)</f>
        <v>65444.396904761925</v>
      </c>
    </row>
    <row r="4" spans="1:3">
      <c r="A4" t="s">
        <v>48</v>
      </c>
      <c r="B4">
        <f>AVERAGEIF(Retail_Dataset!B:B, A4, Retail_Dataset!L:L)</f>
        <v>52497.308000000005</v>
      </c>
    </row>
    <row r="5" spans="1:3">
      <c r="A5" t="s">
        <v>17</v>
      </c>
      <c r="B5">
        <f>AVERAGEIF(Retail_Dataset!B:B, A5, Retail_Dataset!L:L)</f>
        <v>58884.285999999993</v>
      </c>
    </row>
    <row r="7" spans="1:3">
      <c r="A7" s="6" t="s">
        <v>430</v>
      </c>
      <c r="B7" s="5" t="s">
        <v>431</v>
      </c>
    </row>
    <row r="9" spans="1:3">
      <c r="A9" s="5" t="s">
        <v>425</v>
      </c>
      <c r="C9" s="5" t="s">
        <v>432</v>
      </c>
    </row>
    <row r="11" spans="1:3">
      <c r="A11" s="5" t="s">
        <v>433</v>
      </c>
      <c r="C11" s="5" t="s">
        <v>434</v>
      </c>
    </row>
    <row r="12" spans="1:3">
      <c r="C12" s="5" t="s">
        <v>435</v>
      </c>
    </row>
    <row r="13" spans="1:3">
      <c r="C13" s="5" t="s">
        <v>436</v>
      </c>
    </row>
    <row r="14" spans="1:3">
      <c r="C14" s="5" t="s">
        <v>437</v>
      </c>
    </row>
    <row r="15" spans="1:3">
      <c r="C15" s="5" t="s">
        <v>438</v>
      </c>
    </row>
    <row r="17" spans="1:1">
      <c r="A17" s="5" t="s">
        <v>439</v>
      </c>
    </row>
    <row r="21" spans="1:1">
      <c r="A21" t="s">
        <v>419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C9A6-3745-49BC-B8A3-9651DF029C69}">
  <dimension ref="A1:F15"/>
  <sheetViews>
    <sheetView workbookViewId="0">
      <selection activeCell="J17" sqref="J17"/>
    </sheetView>
  </sheetViews>
  <sheetFormatPr defaultRowHeight="14.5"/>
  <cols>
    <col min="1" max="1" width="19.1796875" bestFit="1" customWidth="1"/>
    <col min="2" max="2" width="15.26953125" bestFit="1" customWidth="1"/>
    <col min="3" max="5" width="10.81640625" bestFit="1" customWidth="1"/>
    <col min="6" max="6" width="11.81640625" bestFit="1" customWidth="1"/>
  </cols>
  <sheetData>
    <row r="1" spans="1:6">
      <c r="A1" s="5" t="s">
        <v>424</v>
      </c>
    </row>
    <row r="3" spans="1:6">
      <c r="A3" s="9" t="s">
        <v>423</v>
      </c>
      <c r="B3" s="9" t="s">
        <v>422</v>
      </c>
    </row>
    <row r="4" spans="1:6">
      <c r="A4" s="9" t="s">
        <v>420</v>
      </c>
      <c r="B4" t="s">
        <v>11</v>
      </c>
      <c r="C4" t="s">
        <v>22</v>
      </c>
      <c r="D4" t="s">
        <v>48</v>
      </c>
      <c r="E4" t="s">
        <v>17</v>
      </c>
      <c r="F4" t="s">
        <v>421</v>
      </c>
    </row>
    <row r="5" spans="1:6">
      <c r="A5" s="10" t="s">
        <v>13</v>
      </c>
      <c r="B5">
        <v>888153.51</v>
      </c>
      <c r="C5">
        <v>985999.03999999992</v>
      </c>
      <c r="D5">
        <v>1145872.8400000001</v>
      </c>
      <c r="E5">
        <v>1833506.5</v>
      </c>
      <c r="F5">
        <v>4853531.8899999997</v>
      </c>
    </row>
    <row r="6" spans="1:6">
      <c r="A6" s="10" t="s">
        <v>23</v>
      </c>
      <c r="B6">
        <v>1459067.58</v>
      </c>
      <c r="C6">
        <v>736434.65999999992</v>
      </c>
      <c r="D6">
        <v>496502.89000000007</v>
      </c>
      <c r="E6">
        <v>961692.69999999984</v>
      </c>
      <c r="F6">
        <v>3653697.83</v>
      </c>
    </row>
    <row r="7" spans="1:6">
      <c r="A7" s="10" t="s">
        <v>42</v>
      </c>
      <c r="B7">
        <v>944943.52000000014</v>
      </c>
      <c r="C7">
        <v>1099245.5100000002</v>
      </c>
      <c r="D7">
        <v>892679.01</v>
      </c>
      <c r="E7">
        <v>1286638.7300000002</v>
      </c>
      <c r="F7">
        <v>4223506.7700000005</v>
      </c>
    </row>
    <row r="8" spans="1:6">
      <c r="A8" s="10" t="s">
        <v>19</v>
      </c>
      <c r="B8">
        <v>833638.80999999994</v>
      </c>
      <c r="C8">
        <v>1498374.62</v>
      </c>
      <c r="D8">
        <v>567878.65999999992</v>
      </c>
      <c r="E8">
        <v>792956.54999999993</v>
      </c>
      <c r="F8">
        <v>3692848.6399999997</v>
      </c>
    </row>
    <row r="9" spans="1:6">
      <c r="A9" s="10" t="s">
        <v>27</v>
      </c>
      <c r="B9">
        <v>1659890.4800000002</v>
      </c>
      <c r="C9">
        <v>867213.15</v>
      </c>
      <c r="D9">
        <v>832820.25000000012</v>
      </c>
      <c r="E9">
        <v>926634.58</v>
      </c>
      <c r="F9">
        <v>4286558.46</v>
      </c>
    </row>
    <row r="10" spans="1:6">
      <c r="A10" s="10" t="s">
        <v>421</v>
      </c>
      <c r="B10">
        <v>5785693.9000000004</v>
      </c>
      <c r="C10">
        <v>5187266.9800000004</v>
      </c>
      <c r="D10">
        <v>3935753.6500000004</v>
      </c>
      <c r="E10">
        <v>5801429.0599999996</v>
      </c>
      <c r="F10">
        <v>20710143.59</v>
      </c>
    </row>
    <row r="12" spans="1:6">
      <c r="A12" s="5" t="s">
        <v>425</v>
      </c>
      <c r="B12" s="5" t="s">
        <v>426</v>
      </c>
    </row>
    <row r="14" spans="1:6">
      <c r="A14" s="5" t="s">
        <v>427</v>
      </c>
      <c r="B14" s="5" t="s">
        <v>428</v>
      </c>
    </row>
    <row r="15" spans="1:6">
      <c r="B15" s="5" t="s">
        <v>429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3A62-AF07-40EC-A199-AF469FA04BE6}">
  <dimension ref="A1:D28"/>
  <sheetViews>
    <sheetView topLeftCell="A7" zoomScale="92" workbookViewId="0">
      <selection activeCell="O33" sqref="O33"/>
    </sheetView>
  </sheetViews>
  <sheetFormatPr defaultRowHeight="14.5"/>
  <sheetData>
    <row r="1" spans="1:3">
      <c r="A1" s="6" t="s">
        <v>440</v>
      </c>
      <c r="B1" s="5" t="s">
        <v>441</v>
      </c>
    </row>
    <row r="3" spans="1:3">
      <c r="A3" s="5" t="s">
        <v>380</v>
      </c>
      <c r="C3" s="5" t="s">
        <v>442</v>
      </c>
    </row>
    <row r="4" spans="1:3">
      <c r="C4" s="5" t="s">
        <v>443</v>
      </c>
    </row>
    <row r="6" spans="1:3">
      <c r="A6" s="5" t="s">
        <v>427</v>
      </c>
      <c r="C6" s="5" t="s">
        <v>444</v>
      </c>
    </row>
    <row r="7" spans="1:3">
      <c r="C7" s="5" t="s">
        <v>445</v>
      </c>
    </row>
    <row r="8" spans="1:3">
      <c r="C8" s="5" t="s">
        <v>446</v>
      </c>
    </row>
    <row r="9" spans="1:3">
      <c r="C9" s="5" t="s">
        <v>447</v>
      </c>
    </row>
    <row r="12" spans="1:3">
      <c r="A12" s="5" t="s">
        <v>448</v>
      </c>
      <c r="C12" s="11" t="s">
        <v>449</v>
      </c>
    </row>
    <row r="13" spans="1:3">
      <c r="C13" s="12"/>
    </row>
    <row r="14" spans="1:3">
      <c r="C14" s="11" t="s">
        <v>450</v>
      </c>
    </row>
    <row r="15" spans="1:3">
      <c r="C15" s="12"/>
    </row>
    <row r="16" spans="1:3">
      <c r="C16" s="11" t="s">
        <v>451</v>
      </c>
    </row>
    <row r="17" spans="1:4">
      <c r="C17" s="12"/>
    </row>
    <row r="18" spans="1:4">
      <c r="C18" s="11" t="s">
        <v>452</v>
      </c>
    </row>
    <row r="21" spans="1:4">
      <c r="A21" s="5" t="s">
        <v>453</v>
      </c>
      <c r="C21" s="13" t="s">
        <v>454</v>
      </c>
    </row>
    <row r="22" spans="1:4">
      <c r="C22" s="12"/>
    </row>
    <row r="23" spans="1:4">
      <c r="C23" s="13" t="s">
        <v>455</v>
      </c>
    </row>
    <row r="24" spans="1:4">
      <c r="C24" s="12"/>
    </row>
    <row r="25" spans="1:4">
      <c r="C25" s="13" t="s">
        <v>456</v>
      </c>
    </row>
    <row r="27" spans="1:4">
      <c r="A27" s="5" t="s">
        <v>457</v>
      </c>
      <c r="D27" s="5" t="s">
        <v>458</v>
      </c>
    </row>
    <row r="28" spans="1:4">
      <c r="D28" s="5" t="s">
        <v>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D7E2-D45E-42A6-9C8E-2C6071AF0EFA}">
  <dimension ref="A1:C17"/>
  <sheetViews>
    <sheetView tabSelected="1" workbookViewId="0">
      <selection activeCell="L13" sqref="L13"/>
    </sheetView>
  </sheetViews>
  <sheetFormatPr defaultRowHeight="14.5"/>
  <sheetData>
    <row r="1" spans="1:3">
      <c r="A1" s="5" t="s">
        <v>460</v>
      </c>
      <c r="B1" s="5" t="s">
        <v>461</v>
      </c>
    </row>
    <row r="3" spans="1:3">
      <c r="A3" s="5" t="s">
        <v>462</v>
      </c>
      <c r="C3" s="5" t="s">
        <v>463</v>
      </c>
    </row>
    <row r="5" spans="1:3">
      <c r="A5" s="5" t="s">
        <v>433</v>
      </c>
      <c r="C5" s="5" t="s">
        <v>464</v>
      </c>
    </row>
    <row r="6" spans="1:3">
      <c r="C6" s="5" t="s">
        <v>465</v>
      </c>
    </row>
    <row r="7" spans="1:3">
      <c r="C7" s="5" t="s">
        <v>466</v>
      </c>
    </row>
    <row r="9" spans="1:3">
      <c r="A9" s="5" t="s">
        <v>467</v>
      </c>
      <c r="C9" s="5" t="s">
        <v>468</v>
      </c>
    </row>
    <row r="11" spans="1:3">
      <c r="A11" s="5" t="s">
        <v>469</v>
      </c>
      <c r="C11" s="13" t="s">
        <v>470</v>
      </c>
    </row>
    <row r="12" spans="1:3">
      <c r="C12" s="12"/>
    </row>
    <row r="13" spans="1:3">
      <c r="C13" s="13" t="s">
        <v>471</v>
      </c>
    </row>
    <row r="14" spans="1:3">
      <c r="C14" s="12"/>
    </row>
    <row r="15" spans="1:3">
      <c r="C15" s="13" t="s">
        <v>472</v>
      </c>
    </row>
    <row r="17" spans="1:3">
      <c r="A17" s="5" t="s">
        <v>473</v>
      </c>
      <c r="C17" s="5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Retail_Dataset</vt:lpstr>
      <vt:lpstr>QUES1</vt:lpstr>
      <vt:lpstr>QUES2</vt:lpstr>
      <vt:lpstr>QUES3</vt:lpstr>
      <vt:lpstr>QUES4</vt:lpstr>
      <vt:lpstr>QUES5</vt:lpstr>
      <vt:lpstr>QUES6</vt:lpstr>
      <vt:lpstr>QUES7</vt:lpstr>
      <vt:lpstr>QUES8</vt:lpstr>
      <vt:lpstr>QUES9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Shabeeh Abbas</dc:creator>
  <cp:lastModifiedBy>Shabeeh Abbas</cp:lastModifiedBy>
  <dcterms:created xsi:type="dcterms:W3CDTF">2026-01-24T14:43:05Z</dcterms:created>
  <dcterms:modified xsi:type="dcterms:W3CDTF">2026-01-24T14:43:05Z</dcterms:modified>
</cp:coreProperties>
</file>